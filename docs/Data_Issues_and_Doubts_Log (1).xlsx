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ssue Log" sheetId="2" state="visible" r:id="rId4"/>
    <sheet name="Legend" sheetId="3" state="visible" r:id="rId5"/>
  </sheets>
  <definedNames>
    <definedName function="false" hidden="true" localSheetId="1" name="_xlnm._FilterDatabase" vbProcedure="false">'Issue Log'!$A$1:$K$94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<sst xmlns="http://schemas.openxmlformats.org/spreadsheetml/2006/main" count="1033" uniqueCount="604">
  <si>
    <t xml:space="preserve">Issue log summary (updates automatically when Status / Priority are changed)</t>
  </si>
  <si>
    <t xml:space="preserve">Status</t>
  </si>
  <si>
    <t xml:space="preserve">All</t>
  </si>
  <si>
    <t xml:space="preserve">High</t>
  </si>
  <si>
    <t xml:space="preserve">Medium</t>
  </si>
  <si>
    <t xml:space="preserve">Low</t>
  </si>
  <si>
    <t xml:space="preserve">Resolved (business confirmed)</t>
  </si>
  <si>
    <t xml:space="preserve">Handled in model</t>
  </si>
  <si>
    <t xml:space="preserve">Open - business</t>
  </si>
  <si>
    <t xml:space="preserve">Open - ERP team</t>
  </si>
  <si>
    <t xml:space="preserve">Open - verify with full data</t>
  </si>
  <si>
    <t xml:space="preserve">Assumed - please confirm</t>
  </si>
  <si>
    <t xml:space="preserve">Total</t>
  </si>
  <si>
    <t xml:space="preserve">Check: total equals number of issues</t>
  </si>
  <si>
    <t xml:space="preserve">Open by owner</t>
  </si>
  <si>
    <t xml:space="preserve">Open items</t>
  </si>
  <si>
    <t xml:space="preserve">Business (you)</t>
  </si>
  <si>
    <t xml:space="preserve">ERP team</t>
  </si>
  <si>
    <t xml:space="preserve">Data team</t>
  </si>
  <si>
    <t xml:space="preserve">ID</t>
  </si>
  <si>
    <t xml:space="preserve">Area</t>
  </si>
  <si>
    <t xml:space="preserve">Source file</t>
  </si>
  <si>
    <t xml:space="preserve">Issue found</t>
  </si>
  <si>
    <t xml:space="preserve">Evidence</t>
  </si>
  <si>
    <t xml:space="preserve">Impact if not handled</t>
  </si>
  <si>
    <t xml:space="preserve">How the model handles it</t>
  </si>
  <si>
    <t xml:space="preserve">Answer / resolution</t>
  </si>
  <si>
    <t xml:space="preserve">Priority</t>
  </si>
  <si>
    <t xml:space="preserve">Owner</t>
  </si>
  <si>
    <t xml:space="preserve">D-001</t>
  </si>
  <si>
    <t xml:space="preserve">Scope</t>
  </si>
  <si>
    <t xml:space="preserve">All sample files</t>
  </si>
  <si>
    <t xml:space="preserve">Sample files cover Apr-Sep 2026, not from Apr 2025 as planned</t>
  </si>
  <si>
    <t xml:space="preserve">Sales, transfers, PO, inventory samples all start 1-Apr-2026</t>
  </si>
  <si>
    <t xml:space="preserve">Forecasting needs a full year incl. festive season</t>
  </si>
  <si>
    <t xml:space="preserve">Prototype period set to 1-Apr-2025..15-Sep-2026</t>
  </si>
  <si>
    <t xml:space="preserve">Samples only; full ~1.5-year data will be provided</t>
  </si>
  <si>
    <t xml:space="preserve">D-002</t>
  </si>
  <si>
    <t xml:space="preserve">All sources</t>
  </si>
  <si>
    <t xml:space="preserve">Full 1.5-year data pull not yet received for any source</t>
  </si>
  <si>
    <t xml:space="preserve">Only samples loaded so far</t>
  </si>
  <si>
    <t xml:space="preserve">Nothing can be loaded for real yet</t>
  </si>
  <si>
    <t xml:space="preserve">Loaders will be built against the sample layouts</t>
  </si>
  <si>
    <t xml:space="preserve">D-003</t>
  </si>
  <si>
    <t xml:space="preserve">Return files</t>
  </si>
  <si>
    <t xml:space="preserve">Return files run past the 15-Sep cut-off</t>
  </si>
  <si>
    <t xml:space="preserve">133 retail return rows and 40 domestic return rows dated 16-22 Sep</t>
  </si>
  <si>
    <t xml:space="preserve">Returns counted without their matching sales period</t>
  </si>
  <si>
    <t xml:space="preserve">Cut-off stored as a setting (meta.pipeline_setting); rows after it excluded at staging</t>
  </si>
  <si>
    <t xml:space="preserve">Use data only up to 15-Sep-2026</t>
  </si>
  <si>
    <t xml:space="preserve">D-004</t>
  </si>
  <si>
    <t xml:space="preserve">Inventory</t>
  </si>
  <si>
    <t xml:space="preserve">Inventory history cannot be pulled: only today's snapshot</t>
  </si>
  <si>
    <t xml:space="preserve">Business confirmed; ERP has no historical stock report</t>
  </si>
  <si>
    <t xml:space="preserve">Stock trends impossible for past dates; each unsaved day is lost</t>
  </si>
  <si>
    <t xml:space="preserve">Daily snapshot fact; history approximated by rolling back through movements</t>
  </si>
  <si>
    <t xml:space="preserve">Start saving the ERP, Blinkit and Instamart stock reports daily into a dated folder</t>
  </si>
  <si>
    <t xml:space="preserve">D-005</t>
  </si>
  <si>
    <t xml:space="preserve">Blinkit / Instamart</t>
  </si>
  <si>
    <t xml:space="preserve">Blinkit return sheet (and Instamart's, if any) not received</t>
  </si>
  <si>
    <t xml:space="preserve">Business confirmed returns are in a separate sheet</t>
  </si>
  <si>
    <t xml:space="preserve">Quick-commerce returns missing; net sales overstated</t>
  </si>
  <si>
    <t xml:space="preserve">Will be registered as a new source when received</t>
  </si>
  <si>
    <t xml:space="preserve">Will be shared when available</t>
  </si>
  <si>
    <t xml:space="preserve">D-006</t>
  </si>
  <si>
    <t xml:space="preserve">Franchise / SIS</t>
  </si>
  <si>
    <t xml:space="preserve">No sell-out data from franchise and SIS stores</t>
  </si>
  <si>
    <t xml:space="preserve">Only sell-in invoices exist in the ERP</t>
  </si>
  <si>
    <t xml:space="preserve">Stock AI reads stock that later comes back as demand</t>
  </si>
  <si>
    <t xml:space="preserve">Demand for these channels uses net sales after returns until sell-out arrives</t>
  </si>
  <si>
    <t xml:space="preserve">Business will work out how to extract it</t>
  </si>
  <si>
    <t xml:space="preserve">D-007</t>
  </si>
  <si>
    <t xml:space="preserve">No Blinkit or Instamart invoices found in the ERP for Apr-Sep 2026</t>
  </si>
  <si>
    <t xml:space="preserve">No Kiranakart/Swiggy names in Domestic Sales; no QC channel in Retail Sales; yet Kiranakart appears in returns and Blinkit locations hold ERP stock</t>
  </si>
  <si>
    <t xml:space="preserve">Quick-commerce revenue may be missing from ERP-based revenue</t>
  </si>
  <si>
    <t xml:space="preserve">Revenue = ERP invoices only; platform sell-out stored separately for demand</t>
  </si>
  <si>
    <t xml:space="preserve">Partly answered: QC is sale-or-return. Still unclear where QC invoices are raised in the ERP</t>
  </si>
  <si>
    <t xml:space="preserve">D-008</t>
  </si>
  <si>
    <t xml:space="preserve">WMS dispatch</t>
  </si>
  <si>
    <t xml:space="preserve">Dispatch sample was pasted as text, not shared as a file</t>
  </si>
  <si>
    <t xml:space="preserve">Rows pasted in chat, dated Apr 2025</t>
  </si>
  <si>
    <t xml:space="preserve">Cannot test joins (e.g. invoice match rate) until a real export arrives</t>
  </si>
  <si>
    <t xml:space="preserve">Model designed from the pasted columns</t>
  </si>
  <si>
    <t xml:space="preserve">D-009</t>
  </si>
  <si>
    <t xml:space="preserve">Retail sales</t>
  </si>
  <si>
    <t xml:space="preserve">Retail Sales</t>
  </si>
  <si>
    <t xml:space="preserve">CHANNELNAME is the billing location, not the sales channel</t>
  </si>
  <si>
    <t xml:space="preserve">Values like '08 Jaipur Branch', '24 FBA WH - AMD2'</t>
  </si>
  <si>
    <t xml:space="preserve">Channel reports would show warehouses instead of channels</t>
  </si>
  <si>
    <t xml:space="preserve">Channel from CONTACTNAME; CHANNELNAME used as location</t>
  </si>
  <si>
    <t xml:space="preserve">Use CONTACTNAME for channel</t>
  </si>
  <si>
    <t xml:space="preserve">D-010</t>
  </si>
  <si>
    <t xml:space="preserve">Channel unclear for some payment modes (COD, Snapmint, FNP, ICICI bank, Advance)</t>
  </si>
  <si>
    <t xml:space="preserve">COD = 3,947 lines / Rs 52.9 lakh; Snapmint 80; FNP 19; ICICI 18; Advance 3</t>
  </si>
  <si>
    <t xml:space="preserve">Channel split wrong on the dashboard</t>
  </si>
  <si>
    <t xml:space="preserve">Resolved through CONTACTNAME: COD and Snapmint are all under Shopify_Customer (website)</t>
  </si>
  <si>
    <t xml:space="preserve">Use CONTACTNAME</t>
  </si>
  <si>
    <t xml:space="preserve">D-011</t>
  </si>
  <si>
    <t xml:space="preserve">PRODASSESSABLEVALUE INCLUDES GST despite its name; PRODDOCVALUE is the excl-GST value</t>
  </si>
  <si>
    <t xml:space="preserve">PRODDOCVALUE + GST = PRODASSESSABLEVALUE on every product line; e.g. MRP 850 - disc 17 = 833 incl GST; 705.93 excl</t>
  </si>
  <si>
    <t xml:space="preserve">Retail revenue overstated by the GST amount</t>
  </si>
  <si>
    <t xml:space="preserve">Headline value = PRODDOCVALUE; load fails if the relationship stops holding</t>
  </si>
  <si>
    <t xml:space="preserve">Headline sales = excluding GST</t>
  </si>
  <si>
    <t xml:space="preserve">D-012</t>
  </si>
  <si>
    <t xml:space="preserve">PRODDOCVALUE is blank on charge lines (SHIPPING R, Gifting)</t>
  </si>
  <si>
    <t xml:space="preserve">Only non-product lines fail the GST check</t>
  </si>
  <si>
    <t xml:space="preserve">Charge revenue lost if PRODDOCVALUE used blindly</t>
  </si>
  <si>
    <t xml:space="preserve">Excl-GST value for these lines = PRODASSESSABLEVALUE minus GST; kept as CHARGE item type</t>
  </si>
  <si>
    <t xml:space="preserve">D-013</t>
  </si>
  <si>
    <t xml:space="preserve">Non-product codes appear as invoice lines</t>
  </si>
  <si>
    <t xml:space="preserve">SHIPPING R, carry bags COCB04-06, Gifting, packaging codes</t>
  </si>
  <si>
    <t xml:space="preserve">Product sales and SKU counts polluted</t>
  </si>
  <si>
    <t xml:space="preserve">Every code kept in dim_product with item_type; SKU analysis uses TRADING only</t>
  </si>
  <si>
    <t xml:space="preserve">D-014</t>
  </si>
  <si>
    <t xml:space="preserve">Bare contact 'Dileep Essentials Pvt Ltd' on retail invoices</t>
  </si>
  <si>
    <t xml:space="preserve">39 lines, Rs 2 lakh; paid via 'DEPL HYD Store A/c', 'DEPL Jaipur - C-Scheme Exp.'</t>
  </si>
  <si>
    <t xml:space="preserve">Mis-classified as a D2C sale</t>
  </si>
  <si>
    <t xml:space="preserve">Classified as export through Dileep</t>
  </si>
  <si>
    <t xml:space="preserve">All are exports through Dileep</t>
  </si>
  <si>
    <t xml:space="preserve">D-015</t>
  </si>
  <si>
    <t xml:space="preserve">Two Nykaa names: 'Nykaa Fashion' (900 lines) and 'Nykaa' (34 lines)</t>
  </si>
  <si>
    <t xml:space="preserve">Payment modes 'Prepaid - Nykaa Fashion' and 'Prepaid - Nykaa'</t>
  </si>
  <si>
    <t xml:space="preserve">Nykaa split across two channels</t>
  </si>
  <si>
    <t xml:space="preserve">Proposed: one channel 'Nykaa' with the two names kept as sub-channels</t>
  </si>
  <si>
    <t xml:space="preserve">D-016</t>
  </si>
  <si>
    <t xml:space="preserve">144 Jaipur Branch rows have a blank payment mode</t>
  </si>
  <si>
    <t xml:space="preserve">All at '08 Jaipur Branch'</t>
  </si>
  <si>
    <t xml:space="preserve">Payment-type analysis incomplete</t>
  </si>
  <si>
    <t xml:space="preserve">Channel comes from CONTACTNAME, so not blocking</t>
  </si>
  <si>
    <t xml:space="preserve">D-017</t>
  </si>
  <si>
    <t xml:space="preserve">Almost no returns inside the sales file</t>
  </si>
  <si>
    <t xml:space="preserve">Only 19 credit notes in 25,899 lines</t>
  </si>
  <si>
    <t xml:space="preserve">Returns under-counted</t>
  </si>
  <si>
    <t xml:space="preserve">Returns loaded from the dedicated return registers</t>
  </si>
  <si>
    <t xml:space="preserve">Return data sheets provided</t>
  </si>
  <si>
    <t xml:space="preserve">D-018</t>
  </si>
  <si>
    <t xml:space="preserve">Retail Sales, WMS</t>
  </si>
  <si>
    <t xml:space="preserve">Customer personal data (names, phones, emails, addresses)</t>
  </si>
  <si>
    <t xml:space="preserve">Present in Retail Sales and WMS dispatch</t>
  </si>
  <si>
    <t xml:space="preserve">Privacy and compliance risk</t>
  </si>
  <si>
    <t xml:space="preserve">PII stays only in the restricted raw layer; core and mart hold pincode/city/state only</t>
  </si>
  <si>
    <t xml:space="preserve">D-019</t>
  </si>
  <si>
    <t xml:space="preserve">Domestic sales</t>
  </si>
  <si>
    <t xml:space="preserve">Domestic Sales</t>
  </si>
  <si>
    <t xml:space="preserve">CONTACTNAME mixes B2B, franchise, SIS, quick commerce, group exports and employees</t>
  </si>
  <si>
    <t xml:space="preserve">117 distinct accounts in the sample</t>
  </si>
  <si>
    <t xml:space="preserve">Sale-or-return stock counted as final revenue</t>
  </si>
  <si>
    <t xml:space="preserve">Separate partner types; B2B = final, franchise/SIS/QC = sale-or-return</t>
  </si>
  <si>
    <t xml:space="preserve">Rules confirmed. Billing names of franchise, SIS and QC partners still to be supplied</t>
  </si>
  <si>
    <t xml:space="preserve">D-020</t>
  </si>
  <si>
    <t xml:space="preserve">Invoices to Dileep group companies</t>
  </si>
  <si>
    <t xml:space="preserve">54 lines, 15 bills, Rs 21.4 lakh (7.75% of domestic taxable), mostly Dileep Crafts</t>
  </si>
  <si>
    <t xml:space="preserve">Related-party sales inflate revenue and distort margin</t>
  </si>
  <si>
    <t xml:space="preserve">Partner type GROUP_EXPORT: exports at cost, shown as own channel</t>
  </si>
  <si>
    <t xml:space="preserve">Exports go through Dileep, billed cost-to-cost</t>
  </si>
  <si>
    <t xml:space="preserve">D-021</t>
  </si>
  <si>
    <t xml:space="preserve">Low unit prices on Dileep Industries and Dileep Jewellery bills</t>
  </si>
  <si>
    <t xml:space="preserve">Rs 5-25 per unit, no discount (e.g. 280 units for Rs 1,606)</t>
  </si>
  <si>
    <t xml:space="preserve">Could look like data errors</t>
  </si>
  <si>
    <t xml:space="preserve">Kept as recorded</t>
  </si>
  <si>
    <t xml:space="preserve">These are cost prices</t>
  </si>
  <si>
    <t xml:space="preserve">D-022</t>
  </si>
  <si>
    <t xml:space="preserve">CORRECTION: earlier example (price 1,855.93, discount 1,855.09, taxable 0.84) was an Ayush Baid (employee) line, NOT a Dileep bill</t>
  </si>
  <si>
    <t xml:space="preserve">Checked: only 2 Dileep lines have a near-100% discount (Sampling Unit Rs 0.97, Potteries Rs 0.96)</t>
  </si>
  <si>
    <t xml:space="preserve">Wrong conclusion about Dileep pricing</t>
  </si>
  <si>
    <t xml:space="preserve">Record corrected</t>
  </si>
  <si>
    <t xml:space="preserve">Corrected in this log</t>
  </si>
  <si>
    <t xml:space="preserve">D-023</t>
  </si>
  <si>
    <t xml:space="preserve">Lines billed at normal price with a 99-100% discount (near-free)</t>
  </si>
  <si>
    <t xml:space="preserve">106 lines, 60 bills, Rs 63 total: Ayush Baid 42, Sundry Customer 22, Tanishq/Titan 14, others</t>
  </si>
  <si>
    <t xml:space="preserve">Free units counted as sold: demand inflated for Stock AI; B2B sample units counted as B2B sales</t>
  </si>
  <si>
    <t xml:space="preserve">Proposed: flag lines with &gt;=99% discount as 'free / sample issue' and exclude them from demand</t>
  </si>
  <si>
    <t xml:space="preserve">Are these samples / free issues?</t>
  </si>
  <si>
    <t xml:space="preserve">D-024</t>
  </si>
  <si>
    <t xml:space="preserve">'Sundry Customer' is a catch-all account</t>
  </si>
  <si>
    <t xml:space="preserve">171 lines, 21 bills, Rs 4,960 taxable; products incl. cake stand, paper bags, tissue, gift cards</t>
  </si>
  <si>
    <t xml:space="preserve">Default rule would treat it as an EMPLOYEE (not on business list)</t>
  </si>
  <si>
    <t xml:space="preserve">Held as UNCLASSIFIED until answered</t>
  </si>
  <si>
    <t xml:space="preserve">What is Sundry Customer (walk-in / cash B2B / misc)?</t>
  </si>
  <si>
    <t xml:space="preserve">D-025</t>
  </si>
  <si>
    <t xml:space="preserve">209 lines have a blank Taxable value</t>
  </si>
  <si>
    <t xml:space="preserve">Mostly carry bags (COCB04-11); 146 on Sundry Customer; Net Amount is present on all of them</t>
  </si>
  <si>
    <t xml:space="preserve">Revenue lost for these lines if Taxable used blindly</t>
  </si>
  <si>
    <t xml:space="preserve">Proposed: Taxable = Net Amount - Total Tax (relationship holds on 100% of other lines), flagged as derived</t>
  </si>
  <si>
    <t xml:space="preserve">D-026</t>
  </si>
  <si>
    <t xml:space="preserve">Net Amount INCLUDES GST</t>
  </si>
  <si>
    <t xml:space="preserve">Taxable + Total Tax = Net Amount on 100% of 5,042 lines</t>
  </si>
  <si>
    <t xml:space="preserve">Revenue overstated if Net Amount used</t>
  </si>
  <si>
    <t xml:space="preserve">Headline value = Taxable</t>
  </si>
  <si>
    <t xml:space="preserve">D-027</t>
  </si>
  <si>
    <t xml:space="preserve">Direct export rows to Singapore, although exports are said to go through Dileep</t>
  </si>
  <si>
    <t xml:space="preserve">2 lines to 'Hindustan Exports', Rs 1 each</t>
  </si>
  <si>
    <t xml:space="preserve">Unclear classification</t>
  </si>
  <si>
    <t xml:space="preserve">Held as EXPORT_CUSTOMER; Rs 1 lines also fall under the near-free issue</t>
  </si>
  <si>
    <t xml:space="preserve">Are these samples to an exporter?</t>
  </si>
  <si>
    <t xml:space="preserve">D-028</t>
  </si>
  <si>
    <t xml:space="preserve">Person names are employees taking exhibition stock</t>
  </si>
  <si>
    <t xml:space="preserve">e.g. Ayush Baid, Riya Sharma</t>
  </si>
  <si>
    <t xml:space="preserve">Internal movement counted as B2B sales</t>
  </si>
  <si>
    <t xml:space="preserve">Unlisted names = EMPLOYEE by rule; each load reports names classified this way</t>
  </si>
  <si>
    <t xml:space="preserve">Any person's name is an employee; no list needed</t>
  </si>
  <si>
    <t xml:space="preserve">D-029</t>
  </si>
  <si>
    <t xml:space="preserve">Returns</t>
  </si>
  <si>
    <t xml:space="preserve">Retail Sales Return</t>
  </si>
  <si>
    <t xml:space="preserve">FBA-named contacts in retail returns</t>
  </si>
  <si>
    <t xml:space="preserve">e.g. 'Dileep Essentials Pvt Ltd FBA DED4'</t>
  </si>
  <si>
    <t xml:space="preserve">Could be mistaken for internal transfers</t>
  </si>
  <si>
    <t xml:space="preserve">Genuine customer returns, received at that FBA warehouse</t>
  </si>
  <si>
    <t xml:space="preserve">Customer returns going back to FBA</t>
  </si>
  <si>
    <t xml:space="preserve">D-030</t>
  </si>
  <si>
    <t xml:space="preserve">Domestic Sale Return</t>
  </si>
  <si>
    <t xml:space="preserve">Person names in domestic returns</t>
  </si>
  <si>
    <t xml:space="preserve">e.g. Riya Sharma-Customer, Ayush Baid</t>
  </si>
  <si>
    <t xml:space="preserve">Counted as B2B returns</t>
  </si>
  <si>
    <t xml:space="preserve">EMPLOYEE by rule; excluded from return-rate metrics</t>
  </si>
  <si>
    <t xml:space="preserve">Employees returning exhibition stock</t>
  </si>
  <si>
    <t xml:space="preserve">D-031</t>
  </si>
  <si>
    <t xml:space="preserve">Kiranakart Technologies (Blinkit) appears in domestic returns</t>
  </si>
  <si>
    <t xml:space="preserve">Returns found in the domestic return register</t>
  </si>
  <si>
    <t xml:space="preserve">Could look misplaced</t>
  </si>
  <si>
    <t xml:space="preserve">Unsold stock back from a sale-or-return partner</t>
  </si>
  <si>
    <t xml:space="preserve">Blinkit returns unsold stock</t>
  </si>
  <si>
    <t xml:space="preserve">D-032</t>
  </si>
  <si>
    <t xml:space="preserve">Return date field holds several dates joined by ';'</t>
  </si>
  <si>
    <t xml:space="preserve">CORRECTED: first read as the same date repeated. Loader found they can DIFFER (437 rows in FY25-26, e.g. '22/11/2024;22/01/2025'); see the goods-receipt issue below</t>
  </si>
  <si>
    <t xml:space="preserve">Dates fail to parse or pick the wrong day</t>
  </si>
  <si>
    <t xml:space="preserve">Raw keeps the text unchanged; handled with the goods-receipt issue</t>
  </si>
  <si>
    <t xml:space="preserve">D-033</t>
  </si>
  <si>
    <t xml:space="preserve">Return date column name differs by file</t>
  </si>
  <si>
    <t xml:space="preserve">Retail: RETURNDATE; Domestic: RTNFROMCUSTDT</t>
  </si>
  <si>
    <t xml:space="preserve">Wrong column picked</t>
  </si>
  <si>
    <t xml:space="preserve">Mapped explicitly per source</t>
  </si>
  <si>
    <t xml:space="preserve">D-034</t>
  </si>
  <si>
    <t xml:space="preserve">~7% of retail returns don't match a sale in the sample</t>
  </si>
  <si>
    <t xml:space="preserve">2,875 of 3,089 bills matched</t>
  </si>
  <si>
    <t xml:space="preserve">Returns without their original sale</t>
  </si>
  <si>
    <t xml:space="preserve">Expected (sales before Apr 2026); re-check on full data</t>
  </si>
  <si>
    <t xml:space="preserve">D-035</t>
  </si>
  <si>
    <t xml:space="preserve">Shipping-charge reversal lines in returns</t>
  </si>
  <si>
    <t xml:space="preserve">287 rows with PRODNUM 'SHIPPING R'</t>
  </si>
  <si>
    <t xml:space="preserve">Returned 'units' of a non-product</t>
  </si>
  <si>
    <t xml:space="preserve">CHARGE item type; excluded from product returns</t>
  </si>
  <si>
    <t xml:space="preserve">D-036</t>
  </si>
  <si>
    <t xml:space="preserve">Domestic returns have no clear link to the original invoice</t>
  </si>
  <si>
    <t xml:space="preserve">BILLNUM here is the credit note; RTNFROMCUST is the goods receipt</t>
  </si>
  <si>
    <t xml:space="preserve">Cannot compute return rate per original B2B invoice</t>
  </si>
  <si>
    <t xml:space="preserve">Original bill kept nullable</t>
  </si>
  <si>
    <t xml:space="preserve">Is the original invoice number stored anywhere in this report?</t>
  </si>
  <si>
    <t xml:space="preserve">D-037</t>
  </si>
  <si>
    <t xml:space="preserve">WMS, Returns</t>
  </si>
  <si>
    <t xml:space="preserve">RTO (failed delivery) vs customer return after delivery</t>
  </si>
  <si>
    <t xml:space="preserve">RTO seen in WMS status; customer returns in return registers</t>
  </si>
  <si>
    <t xml:space="preserve">Returns mixed or missed</t>
  </si>
  <si>
    <t xml:space="preserve">Both kept, as separate events</t>
  </si>
  <si>
    <t xml:space="preserve">Return registers provided</t>
  </si>
  <si>
    <t xml:space="preserve">D-038</t>
  </si>
  <si>
    <t xml:space="preserve">Stock transfers</t>
  </si>
  <si>
    <t xml:space="preserve">Stock Transfer, Inward</t>
  </si>
  <si>
    <t xml:space="preserve">Sending / receiving location only encoded in the document number prefix</t>
  </si>
  <si>
    <t xml:space="preserve">Prefixes JPR/, THA/, HYD, BAG/, AMD ... ; no location column</t>
  </si>
  <si>
    <t xml:space="preserve">Stock movements assigned to the wrong place when a new prefix appears</t>
  </si>
  <si>
    <t xml:space="preserve">Interim prefix-to-location table (ref.document_prefix_location)</t>
  </si>
  <si>
    <t xml:space="preserve">Add a branch / location column to transfer and return exports</t>
  </si>
  <si>
    <t xml:space="preserve">D-039</t>
  </si>
  <si>
    <t xml:space="preserve">Outward stock never received</t>
  </si>
  <si>
    <t xml:space="preserve">31 of 622 outward documents wholly unreceived = 2,311 units (233 from Jun, 34 from May). CORRECTED total counting SKU lines, incl. partly received documents: 2,794 units in transit (built warehouse, verified independently)</t>
  </si>
  <si>
    <t xml:space="preserve">Stock can disappear between locations</t>
  </si>
  <si>
    <t xml:space="preserve">In-transit view in mart; age of unreceived transfers reported</t>
  </si>
  <si>
    <t xml:space="preserve">Why are May/June transfers still unreceived? Are FBA receipts recorded in the ERP?</t>
  </si>
  <si>
    <t xml:space="preserve">D-040</t>
  </si>
  <si>
    <t xml:space="preserve">Stock Transfer Inward</t>
  </si>
  <si>
    <t xml:space="preserve">Same document + SKU appears twice</t>
  </si>
  <si>
    <t xml:space="preserve">2 duplicate DOCNUM + PRODNUM pairs</t>
  </si>
  <si>
    <t xml:space="preserve">Real lines rejected as duplicates</t>
  </si>
  <si>
    <t xml:space="preserve">Line-occurrence counter in the key</t>
  </si>
  <si>
    <t xml:space="preserve">D-041</t>
  </si>
  <si>
    <t xml:space="preserve">Stock Transfer</t>
  </si>
  <si>
    <t xml:space="preserve">Outward quantities are negative</t>
  </si>
  <si>
    <t xml:space="preserve">All outward PRODTRANSQTY &lt; 0</t>
  </si>
  <si>
    <t xml:space="preserve">Signs double-flipped in sums</t>
  </si>
  <si>
    <t xml:space="preserve">Stored positive with a direction column</t>
  </si>
  <si>
    <t xml:space="preserve">D-042</t>
  </si>
  <si>
    <t xml:space="preserve">Product hierarchy fields empty</t>
  </si>
  <si>
    <t xml:space="preserve">PRODGROUPNAME, PRODBRANDNAME, PRODMODEL, DEPARTMENTNAME 100% blank</t>
  </si>
  <si>
    <t xml:space="preserve">No category from these files</t>
  </si>
  <si>
    <t xml:space="preserve">Product attributes taken from other sources</t>
  </si>
  <si>
    <t xml:space="preserve">D-043</t>
  </si>
  <si>
    <t xml:space="preserve">All files</t>
  </si>
  <si>
    <t xml:space="preserve">Same location spelled differently across files</t>
  </si>
  <si>
    <t xml:space="preserve">'24 FBA WH - AMD2' vs 'Dileep Essentials Pvt Ltd Ahmedabad FBA AMD2'</t>
  </si>
  <si>
    <t xml:space="preserve">Joins by location fail</t>
  </si>
  <si>
    <t xml:space="preserve">One location code with every spelling mapped (ref.location_alias)</t>
  </si>
  <si>
    <t xml:space="preserve">Mapping to be reviewed line by line (next step)</t>
  </si>
  <si>
    <t xml:space="preserve">D-044</t>
  </si>
  <si>
    <t xml:space="preserve">Purchase orders</t>
  </si>
  <si>
    <t xml:space="preserve">Pending PO</t>
  </si>
  <si>
    <t xml:space="preserve">PO report contains return invoices, not only purchases</t>
  </si>
  <si>
    <t xml:space="preserve">Companies and own stores sending stock back raise invoices here</t>
  </si>
  <si>
    <t xml:space="preserve">Returns counted as purchases; lead time wrong</t>
  </si>
  <si>
    <t xml:space="preserve">Any counterparty not on the factory list = return-inward</t>
  </si>
  <si>
    <t xml:space="preserve">Rule confirmed; factory list to be supplied</t>
  </si>
  <si>
    <t xml:space="preserve">D-045</t>
  </si>
  <si>
    <t xml:space="preserve">Shoppers Stop appears as a PO counterparty</t>
  </si>
  <si>
    <t xml:space="preserve">'Shoppers Stop Limited-Vendor', 356 rows</t>
  </si>
  <si>
    <t xml:space="preserve">Customer mistaken for supplier</t>
  </si>
  <si>
    <t xml:space="preserve">Return-inward by rule</t>
  </si>
  <si>
    <t xml:space="preserve">Returns raise an invoice in the PO list</t>
  </si>
  <si>
    <t xml:space="preserve">D-046</t>
  </si>
  <si>
    <t xml:space="preserve">Returned-to-supplier fields rarely filled</t>
  </si>
  <si>
    <t xml:space="preserve">Returned Qty / Value on 27 of 1,350 rows</t>
  </si>
  <si>
    <t xml:space="preserve">Supplier return rate looks lower than reality</t>
  </si>
  <si>
    <t xml:space="preserve">Kept as reported</t>
  </si>
  <si>
    <t xml:space="preserve">D-047</t>
  </si>
  <si>
    <t xml:space="preserve">CORRECTED: one GRN per PO line was assumed; part deliveries list several receipts in ONE cell</t>
  </si>
  <si>
    <t xml:space="preserve">Found by the first transform run: 47 PO lines list 155 receipts in GRNNUM (e.g. 'JPR/GRN/199;305;89') with one date and one total quantity. The loader's uniqueness check could not catch it: it is one cell, not several rows</t>
  </si>
  <si>
    <t xml:space="preserve">Per-receipt dates and quantities unknown; supplier lead time approximate for those lines</t>
  </si>
  <si>
    <t xml:space="preserve">Receipt table = one row per PO line as reported, receipt numbers in a bridge, lines flagged approximate. Nothing split by guesswork</t>
  </si>
  <si>
    <t xml:space="preserve">Can the ERP export a GRN register (one row per receipt with its own date and quantity)? Gap G-027</t>
  </si>
  <si>
    <t xml:space="preserve">D-048</t>
  </si>
  <si>
    <t xml:space="preserve">Inventory report (.xls)</t>
  </si>
  <si>
    <t xml:space="preserve">Stock report is a wide pivot, not a table</t>
  </si>
  <si>
    <t xml:space="preserve">38 location blocks of Qty + MRP side by side; 19 header rows</t>
  </si>
  <si>
    <t xml:space="preserve">Hard to load; easy to misalign columns</t>
  </si>
  <si>
    <t xml:space="preserve">Loader unpivots to SKU x location and checks block headers</t>
  </si>
  <si>
    <t xml:space="preserve">D-049</t>
  </si>
  <si>
    <t xml:space="preserve">Report includes non-sellable items</t>
  </si>
  <si>
    <t xml:space="preserve">Trading 4,020; Packaging 87; Accessory 49; Stores &amp; Consumables 6</t>
  </si>
  <si>
    <t xml:space="preserve">Stock value and SKU counts polluted</t>
  </si>
  <si>
    <t xml:space="preserve">Only TRADING items count as SKUs</t>
  </si>
  <si>
    <t xml:space="preserve">Only Trading are SKUs</t>
  </si>
  <si>
    <t xml:space="preserve">D-050</t>
  </si>
  <si>
    <t xml:space="preserve">Inventory, Blinkit inventory</t>
  </si>
  <si>
    <t xml:space="preserve">Same Blinkit stock reported by the ERP and by Blinkit</t>
  </si>
  <si>
    <t xml:space="preserve">'27 Blinkit - Pune P2' (ERP) and 'Pune P2 - Feeder' (Blinkit)</t>
  </si>
  <si>
    <t xml:space="preserve">Stock double-counted</t>
  </si>
  <si>
    <t xml:space="preserve">Both kept; each location counted once from its system of record</t>
  </si>
  <si>
    <t xml:space="preserve">Which is the truth for Blinkit locations: ERP or Blinkit's report?</t>
  </si>
  <si>
    <t xml:space="preserve">D-051</t>
  </si>
  <si>
    <t xml:space="preserve">Blinkit inventory</t>
  </si>
  <si>
    <t xml:space="preserve">Negative 'Net scheduled inventory' values</t>
  </si>
  <si>
    <t xml:space="preserve">e.g. -92, -125</t>
  </si>
  <si>
    <t xml:space="preserve">Wrong stock at Blinkit</t>
  </si>
  <si>
    <t xml:space="preserve">Stored; excluded from all stock metrics</t>
  </si>
  <si>
    <t xml:space="preserve">Being confirmed with Blinkit</t>
  </si>
  <si>
    <t xml:space="preserve">D-052</t>
  </si>
  <si>
    <t xml:space="preserve">Amazon FBA</t>
  </si>
  <si>
    <t xml:space="preserve">Amazon's own FBA inventory report not provided</t>
  </si>
  <si>
    <t xml:space="preserve">FBA stock known only from the ERP</t>
  </si>
  <si>
    <t xml:space="preserve">ERP and Amazon may disagree (see unreceived FBA transfers)</t>
  </si>
  <si>
    <t xml:space="preserve">FBA locations use ERP until an Amazon report is added</t>
  </si>
  <si>
    <t xml:space="preserve">Can the Amazon FBA inventory report be exported?</t>
  </si>
  <si>
    <t xml:space="preserve">D-053</t>
  </si>
  <si>
    <t xml:space="preserve">Product category blank in the stock report</t>
  </si>
  <si>
    <t xml:space="preserve">Prod Group / Category columns empty</t>
  </si>
  <si>
    <t xml:space="preserve">No category on stock views</t>
  </si>
  <si>
    <t xml:space="preserve">Category from sales and PO files</t>
  </si>
  <si>
    <t xml:space="preserve">D-054</t>
  </si>
  <si>
    <t xml:space="preserve">Product master</t>
  </si>
  <si>
    <t xml:space="preserve">Final Master</t>
  </si>
  <si>
    <t xml:space="preserve">Which SKUs are currently sold</t>
  </si>
  <si>
    <t xml:space="preserve">472 Continued, 3,548 Discontinued</t>
  </si>
  <si>
    <t xml:space="preserve">Stock AI recommends discontinued SKUs</t>
  </si>
  <si>
    <t xml:space="preserve">Lifecycle status from Final Master; discontinued excluded from replenishment</t>
  </si>
  <si>
    <t xml:space="preserve">Final Master is the list of current SKUs</t>
  </si>
  <si>
    <t xml:space="preserve">D-055</t>
  </si>
  <si>
    <t xml:space="preserve">How current the master's status is</t>
  </si>
  <si>
    <t xml:space="preserve">Stale status = wrong replenishment</t>
  </si>
  <si>
    <t xml:space="preserve">Fresh copy with every data pull; changes kept in product history</t>
  </si>
  <si>
    <t xml:space="preserve">Updated whenever something changes</t>
  </si>
  <si>
    <t xml:space="preserve">D-056</t>
  </si>
  <si>
    <t xml:space="preserve">Only Sheet1 is structured</t>
  </si>
  <si>
    <t xml:space="preserve">Other sheets: Mastor Jan 2026, MRP to change Lot 1/2</t>
  </si>
  <si>
    <t xml:space="preserve">Working sheets loaded as data</t>
  </si>
  <si>
    <t xml:space="preserve">Only Sheet1 loaded</t>
  </si>
  <si>
    <t xml:space="preserve">D-057</t>
  </si>
  <si>
    <t xml:space="preserve">CORRECTION: channel is in 'Site Location', not 'Customer' (earlier misread)</t>
  </si>
  <si>
    <t xml:space="preserve">Customer column = placeholder 999999</t>
  </si>
  <si>
    <t xml:space="preserve">Channel from the wrong column</t>
  </si>
  <si>
    <t xml:space="preserve">Channel from Site Location</t>
  </si>
  <si>
    <t xml:space="preserve">Corrected</t>
  </si>
  <si>
    <t xml:space="preserve">D-058</t>
  </si>
  <si>
    <t xml:space="preserve">Which warehouse 'Warehouse' means</t>
  </si>
  <si>
    <t xml:space="preserve">Order Serving Location = 'Warehouse' on every row</t>
  </si>
  <si>
    <t xml:space="preserve">Fulfilment location unknown</t>
  </si>
  <si>
    <t xml:space="preserve">All shipments = Bagru warehouse</t>
  </si>
  <si>
    <t xml:space="preserve">B2C only, all from Bagru</t>
  </si>
  <si>
    <t xml:space="preserve">D-059</t>
  </si>
  <si>
    <t xml:space="preserve">Several SKUs in one cell with one combined quantity</t>
  </si>
  <si>
    <t xml:space="preserve">e.g. 'SWTEA1766 , WDSWA2926' with Delivery Qty 2</t>
  </si>
  <si>
    <t xml:space="preserve">Per-SKU quantities unknown</t>
  </si>
  <si>
    <t xml:space="preserve">Bridge table; per-SKU qty from the matching ERP invoice line, else left empty</t>
  </si>
  <si>
    <t xml:space="preserve">Invoice match rate to be checked on the full export</t>
  </si>
  <si>
    <t xml:space="preserve">D-060</t>
  </si>
  <si>
    <t xml:space="preserve">Long numbers exported in scientific notation</t>
  </si>
  <si>
    <t xml:space="preserve">Ext Manifest No '1.60396E+13'</t>
  </si>
  <si>
    <t xml:space="preserve">Digits permanently lost; IDs don't match</t>
  </si>
  <si>
    <t xml:space="preserve">All IDs loaded as text</t>
  </si>
  <si>
    <t xml:space="preserve">Export IDs as text or the report as CSV</t>
  </si>
  <si>
    <t xml:space="preserve">D-061</t>
  </si>
  <si>
    <t xml:space="preserve">Dates in month/day order</t>
  </si>
  <si>
    <t xml:space="preserve">e.g. 4/14/2025</t>
  </si>
  <si>
    <t xml:space="preserve">Day and month swapped for dates up to the 12th</t>
  </si>
  <si>
    <t xml:space="preserve">Date format declared per source</t>
  </si>
  <si>
    <t xml:space="preserve">D-062</t>
  </si>
  <si>
    <t xml:space="preserve">Status values in mixed case</t>
  </si>
  <si>
    <t xml:space="preserve">'Shipped', 'delivered', 'RTO Delivered'</t>
  </si>
  <si>
    <t xml:space="preserve">Groupings split</t>
  </si>
  <si>
    <t xml:space="preserve">Standardised via ref.code_mapping</t>
  </si>
  <si>
    <t xml:space="preserve">D-063</t>
  </si>
  <si>
    <t xml:space="preserve">Placeholder customer contacts</t>
  </si>
  <si>
    <t xml:space="preserve">9999999999, dummy@nykaa.com, 'No Address Provided'</t>
  </si>
  <si>
    <t xml:space="preserve">Fake data in customer analysis</t>
  </si>
  <si>
    <t xml:space="preserve">PII not used in core</t>
  </si>
  <si>
    <t xml:space="preserve">D-064</t>
  </si>
  <si>
    <t xml:space="preserve">Quick commerce</t>
  </si>
  <si>
    <t xml:space="preserve">Blinkit sales</t>
  </si>
  <si>
    <t xml:space="preserve">Which Blinkit order statuses count as sold</t>
  </si>
  <si>
    <t xml:space="preserve">Sample has 8 rows, all DELIVERED</t>
  </si>
  <si>
    <t xml:space="preserve">Demand inflated by cancelled orders</t>
  </si>
  <si>
    <t xml:space="preserve">Only DELIVERED counted</t>
  </si>
  <si>
    <t xml:space="preserve">Delivered = sold</t>
  </si>
  <si>
    <t xml:space="preserve">D-065</t>
  </si>
  <si>
    <t xml:space="preserve">No store id in the Blinkit sales export</t>
  </si>
  <si>
    <t xml:space="preserve">Only supply / customer city</t>
  </si>
  <si>
    <t xml:space="preserve">No store-level demand</t>
  </si>
  <si>
    <t xml:space="preserve">Grain uses supply city in place of store</t>
  </si>
  <si>
    <t xml:space="preserve">D-066</t>
  </si>
  <si>
    <t xml:space="preserve">Instamart sales</t>
  </si>
  <si>
    <t xml:space="preserve">Brand Metrics sheet is marketing data</t>
  </si>
  <si>
    <t xml:space="preserve">City-level metrics, not sales lines</t>
  </si>
  <si>
    <t xml:space="preserve">Not loaded in this phase</t>
  </si>
  <si>
    <t xml:space="preserve">D-067</t>
  </si>
  <si>
    <t xml:space="preserve">Locations</t>
  </si>
  <si>
    <t xml:space="preserve">Inventory, Transfers</t>
  </si>
  <si>
    <t xml:space="preserve">Bagru warehouse naming across files</t>
  </si>
  <si>
    <t xml:space="preserve">'08 Jaipur Branch' = Bagru warehouse (confirmed). Bare 'Dileep Essentials Pvt Ltd' is the same place: it is billed at 08 Jaipur Branch and uses the JPR/ transfer prefixes</t>
  </si>
  <si>
    <t xml:space="preserve">Bagru stock split across names</t>
  </si>
  <si>
    <t xml:space="preserve">All three names mapped to one location, BAGRU_WH</t>
  </si>
  <si>
    <t xml:space="preserve">08 Jaipur Branch = Bagru warehouse</t>
  </si>
  <si>
    <t xml:space="preserve">D-068</t>
  </si>
  <si>
    <t xml:space="preserve">Head office location</t>
  </si>
  <si>
    <t xml:space="preserve">Standalone 'Dileep Essentials Pvt Ltd' / HO</t>
  </si>
  <si>
    <t xml:space="preserve">HEAD_OFFICE location in Bagru</t>
  </si>
  <si>
    <t xml:space="preserve">HO is in Bagru</t>
  </si>
  <si>
    <t xml:space="preserve">D-069</t>
  </si>
  <si>
    <t xml:space="preserve">General</t>
  </si>
  <si>
    <t xml:space="preserve">Currency and timezone never explicitly confirmed</t>
  </si>
  <si>
    <t xml:space="preserve">All data appears Indian (INR, IST)</t>
  </si>
  <si>
    <t xml:space="preserve">Wrong if any foreign-currency data exists</t>
  </si>
  <si>
    <t xml:space="preserve">INR and IST stored as settings</t>
  </si>
  <si>
    <t xml:space="preserve">D-070</t>
  </si>
  <si>
    <t xml:space="preserve">The stock report has a 'Total' column that is the sum of all locations</t>
  </si>
  <si>
    <t xml:space="preserve">Equals the sum of the 37 location columns on 100% of rows</t>
  </si>
  <si>
    <t xml:space="preserve">All stock counted twice if loaded as a location</t>
  </si>
  <si>
    <t xml:space="preserve">Loader skips the Total block and uses it only to check the unpivot is complete</t>
  </si>
  <si>
    <t xml:space="preserve">D-071</t>
  </si>
  <si>
    <t xml:space="preserve">13 ERP locations hold zero stock, incl. 7 stores with no retail invoices</t>
  </si>
  <si>
    <t xml:space="preserve">Stores: GK Store, Indiranagar, VR Mall, Infiniti Malad, SIB Bandra, Goa Anjuna, CG Road. Also DEPL Delhi / Lucknow / Mumbai PPOB and FBA BLR5, NAG1, DED5</t>
  </si>
  <si>
    <t xml:space="preserve">Closed locations clutter reports; stock appearing there later goes unnoticed</t>
  </si>
  <si>
    <t xml:space="preserve">Proposed inactive; any stock or sale at an inactive location raises a warning</t>
  </si>
  <si>
    <t xml:space="preserve">See 'Open questions' in Reference_Mappings_Draft_v1</t>
  </si>
  <si>
    <t xml:space="preserve">D-072</t>
  </si>
  <si>
    <t xml:space="preserve">'Dileep Essentials Pvt Ltd Bagru' is a different location from the Bagru warehouse</t>
  </si>
  <si>
    <t xml:space="preserve">Uses transfer prefix BAG/ (2 documents); the Bagru warehouse uses JPR/</t>
  </si>
  <si>
    <t xml:space="preserve">Stock moved to / from it assigned to the wrong place</t>
  </si>
  <si>
    <t xml:space="preserve">Left unmapped (goes to Unknown) until answered</t>
  </si>
  <si>
    <t xml:space="preserve">Is it '08 Bagru Popup'?</t>
  </si>
  <si>
    <t xml:space="preserve">D-073</t>
  </si>
  <si>
    <t xml:space="preserve">'08 Essential - DFAL' holds stock but its purpose is unknown</t>
  </si>
  <si>
    <t xml:space="preserve">688 units of 15 SKUs; transfer prefixes IS/DF and RC/DF</t>
  </si>
  <si>
    <t xml:space="preserve">Stock counted as sellable when it may not be</t>
  </si>
  <si>
    <t xml:space="preserve">Proposed not sellable until confirmed</t>
  </si>
  <si>
    <t xml:space="preserve">What is DFAL, and is its stock sellable?</t>
  </si>
  <si>
    <t xml:space="preserve">D-074</t>
  </si>
  <si>
    <t xml:space="preserve">Jaipur Meeraki holds stock but has no retail invoices</t>
  </si>
  <si>
    <t xml:space="preserve">145 units; no Retail Sales rows Apr-Sep 2026</t>
  </si>
  <si>
    <t xml:space="preserve">Store type unclear (own / SIS / franchise)</t>
  </si>
  <si>
    <t xml:space="preserve">Proposed own store</t>
  </si>
  <si>
    <t xml:space="preserve">What kind of store is Meeraki?</t>
  </si>
  <si>
    <t xml:space="preserve">D-075</t>
  </si>
  <si>
    <t xml:space="preserve">Retail Sales Return (FY25-26)</t>
  </si>
  <si>
    <t xml:space="preserve">Two store names don't match any ERP location</t>
  </si>
  <si>
    <t xml:space="preserve">'Dileep Essentials Pvt Ltd Jaipur Store' (7 returns) and 'Dileep Essentials Pvt Ltd Lucknow'</t>
  </si>
  <si>
    <t xml:space="preserve">Returns received at an unknown location</t>
  </si>
  <si>
    <t xml:space="preserve">Left unmapped until answered</t>
  </si>
  <si>
    <t xml:space="preserve">Which locations are these?</t>
  </si>
  <si>
    <t xml:space="preserve">D-076</t>
  </si>
  <si>
    <t xml:space="preserve">Channels seen only in last year's returns</t>
  </si>
  <si>
    <t xml:space="preserve">'Flipkart Website', 'Ellementry International', and Blinkit Mumbai / Pune contacts</t>
  </si>
  <si>
    <t xml:space="preserve">Channel list incomplete for FY25-26</t>
  </si>
  <si>
    <t xml:space="preserve">Flipkart and Blinkit mapped (proposed); Ellementry International left unmapped</t>
  </si>
  <si>
    <t xml:space="preserve">Which channel is 'Ellementry International'?</t>
  </si>
  <si>
    <t xml:space="preserve">D-077</t>
  </si>
  <si>
    <t xml:space="preserve">One credit note can cover several goods receipts with different dates</t>
  </si>
  <si>
    <t xml:space="preserve">RTNFROMCUST lists receipts ('JPR/GIR/3923;5011;5012') and RTNFROMCUSTDT their dates in the same order; e.g. credit note of 29-Oct-2025 for goods received 22-Nov-2024 and 22-Jan-2025</t>
  </si>
  <si>
    <t xml:space="preserve">'Return date' is ambiguous: sales reversal (credit note date) vs stock back in hand (receipt date)</t>
  </si>
  <si>
    <t xml:space="preserve">Credit-note date (BILLDATE) for net sales; receipt dates for stock timing; each receipt stored separately (bridge_return_goods_receipt)</t>
  </si>
  <si>
    <t xml:space="preserve">Approved with Target Data Model v2 (1 Oct 2026): rule BR-023</t>
  </si>
  <si>
    <t xml:space="preserve">D-078</t>
  </si>
  <si>
    <t xml:space="preserve">Receipt date list shorter than the receipt list on some credit notes</t>
  </si>
  <si>
    <t xml:space="preserve">e.g. 3 receipts with 2 dates; 100 receipts in the sample cannot be paired with a date</t>
  </si>
  <si>
    <t xml:space="preserve">Wrong receipt dates if paired by position</t>
  </si>
  <si>
    <t xml:space="preserve">Unpaired receipts left out of the receipts bridge; the return uses only the dates given</t>
  </si>
  <si>
    <t xml:space="preserve">Why does the ERP drop a date when several receipts share one credit note?</t>
  </si>
  <si>
    <t xml:space="preserve">D-079</t>
  </si>
  <si>
    <t xml:space="preserve">A return 'reason' column exists but is never filled</t>
  </si>
  <si>
    <t xml:space="preserve">Empty on all 5,924 rows</t>
  </si>
  <si>
    <t xml:space="preserve">Return reasons unknown, though the ERP can hold them</t>
  </si>
  <si>
    <t xml:space="preserve">Reason dimension ready; reasons load as soon as the field is filled</t>
  </si>
  <si>
    <t xml:space="preserve">Can the team start filling the reason when raising a credit note? Gap G-009</t>
  </si>
  <si>
    <t xml:space="preserve">D-080</t>
  </si>
  <si>
    <t xml:space="preserve">Built warehouse (stock view)</t>
  </si>
  <si>
    <t xml:space="preserve">Stock at sale-or-return partners has no opening balance</t>
  </si>
  <si>
    <t xml:space="preserve">Blinkit consignment location shows -5,749 units: Kiranakart returned stock in the period that was invoiced to it before the data starts; Blinkit net sales -Rs 2.44 lakh for the same reason</t>
  </si>
  <si>
    <t xml:space="preserve">Partner stock understated, even negative, on dashboards</t>
  </si>
  <si>
    <t xml:space="preserve">The stock view labels these balances 'LEDGER: no opening balance'; nothing is clamped or hidden</t>
  </si>
  <si>
    <t xml:space="preserve">Can each franchise, SIS and quick-commerce partner state the stock it held on 1-Apr-2025? Gap G-028</t>
  </si>
  <si>
    <t xml:space="preserve">D-081</t>
  </si>
  <si>
    <t xml:space="preserve">Instamart sales and inventory</t>
  </si>
  <si>
    <t xml:space="preserve">Instamart's 'Elle SKU' shows Excel's N/A lookup error where its lookup failed</t>
  </si>
  <si>
    <t xml:space="preserve">4 sales rows, 6 inventory rows</t>
  </si>
  <si>
    <t xml:space="preserve">An Excel error was briefly created as a product</t>
  </si>
  <si>
    <t xml:space="preserve">Excel error values are treated as 'no SKU': rows go to Unknown and are counted</t>
  </si>
  <si>
    <t xml:space="preserve">D-082</t>
  </si>
  <si>
    <t xml:space="preserve">Return date column mixes real Excel dates and typed text</t>
  </si>
  <si>
    <t xml:space="preserve">~90% Excel date cells, ~10% typed text 'dd/mm/yyyy;...'</t>
  </si>
  <si>
    <t xml:space="preserve">Only one of the two forms parsed</t>
  </si>
  <si>
    <t xml:space="preserve">Loader stores Excel dates as ISO text and keeps typed text unchanged; staging parses both</t>
  </si>
  <si>
    <t xml:space="preserve">D-083</t>
  </si>
  <si>
    <t xml:space="preserve">The PO export's real date is unknown</t>
  </si>
  <si>
    <t xml:space="preserve">File name says '12_09' but it has 77 POs opened after 12-Sep, the latest on 24-Sep, and receipts to 24-Sep</t>
  </si>
  <si>
    <t xml:space="preserve">PO state recorded against the wrong date; pending-PO view wrong</t>
  </si>
  <si>
    <t xml:space="preserve">Loader refuses a PO file whose as-of date is earlier than dates inside it</t>
  </si>
  <si>
    <t xml:space="preserve">On what date was this PO report exported? Please note the export date for every future PO pull</t>
  </si>
  <si>
    <t xml:space="preserve">D-084</t>
  </si>
  <si>
    <t xml:space="preserve">Blinkit / Instamart inventory, Final Master, PO</t>
  </si>
  <si>
    <t xml:space="preserve">These exports carry no date of their own</t>
  </si>
  <si>
    <t xml:space="preserve">File names give month only (e.g. 'sep_26') or an unclear code</t>
  </si>
  <si>
    <t xml:space="preserve">Snapshot loaded against the wrong day</t>
  </si>
  <si>
    <t xml:space="preserve">Loader requires --as-of for every snapshot, state or master file</t>
  </si>
  <si>
    <t xml:space="preserve">When saving these exports, put the full export date in the file name</t>
  </si>
  <si>
    <t xml:space="preserve">D-085</t>
  </si>
  <si>
    <t xml:space="preserve">7 locations are selected in the report filter but have no column</t>
  </si>
  <si>
    <t xml:space="preserve">Head Office, 08 Repair and Damage, 08 Offline - WH, 07 FBA WH - DED1, 27 FBA WH - ISK3, 08 Jaipur - Mansarovar, 29 FBA WH - BLX9. 13 other zero-stock locations DO get a column</t>
  </si>
  <si>
    <t xml:space="preserve">Stock at these locations (e.g. damaged stock) may be missing from the report</t>
  </si>
  <si>
    <t xml:space="preserve">Loader compares filter vs columns on every load and records a warning; locations added to the mapping as proposals</t>
  </si>
  <si>
    <t xml:space="preserve">Why do these 7 have no column? Does Repair and Damage hold stock?</t>
  </si>
  <si>
    <t xml:space="preserve">D-086</t>
  </si>
  <si>
    <t xml:space="preserve">Report ends with a grand-total row</t>
  </si>
  <si>
    <t xml:space="preserve">Per-location totals in Indian number format, e.g. '1,12,92,483.18'</t>
  </si>
  <si>
    <t xml:space="preserve">Footer loaded as a product row</t>
  </si>
  <si>
    <t xml:space="preserve">Every location column must add up to its footer total, and every row to its Total column, or the whole file is rejected</t>
  </si>
  <si>
    <t xml:space="preserve">D-087</t>
  </si>
  <si>
    <t xml:space="preserve">Sheet1 also contains a full copy of stock columns</t>
  </si>
  <si>
    <t xml:space="preserve">After Prod Num/Status/Name/Type/Unit come stock blocks laid out like the stock report</t>
  </si>
  <si>
    <t xml:space="preserve">Stale stock read as current inventory</t>
  </si>
  <si>
    <t xml:space="preserve">Only the 5 product columns are loaded; the stock copy is ignored by design</t>
  </si>
  <si>
    <t xml:space="preserve">D-088</t>
  </si>
  <si>
    <t xml:space="preserve">Instamart sales, Blinkit inventory</t>
  </si>
  <si>
    <t xml:space="preserve">Columns without a header</t>
  </si>
  <si>
    <t xml:space="preserve">Instamart: a 0,1,2... row counter; Blinkit: every value '--'</t>
  </si>
  <si>
    <t xml:space="preserve">Real data dropped if an unnamed column ever holds some</t>
  </si>
  <si>
    <t xml:space="preserve">Dropped only after checking they are exactly a counter / only '--'; otherwise the file is rejected</t>
  </si>
  <si>
    <t xml:space="preserve">D-089</t>
  </si>
  <si>
    <t xml:space="preserve">Pending PO, Domestic Sale Return</t>
  </si>
  <si>
    <t xml:space="preserve">Shoppers Stop returns appear on two routes</t>
  </si>
  <si>
    <t xml:space="preserve">PO report: 316 return-inward receipt lines (563 units); Domestic Sale Return: 68 credit-note lines (95 units); only 3 pairs match on SKU, quantity and date</t>
  </si>
  <si>
    <t xml:space="preserve">If both record the same goods, the stock ledger counts the return twice</t>
  </si>
  <si>
    <t xml:space="preserve">No return-inward movements are created until the factory list arrives and this is answered</t>
  </si>
  <si>
    <t xml:space="preserve">Are these two different return routes, or the same goods recorded twice?</t>
  </si>
  <si>
    <t xml:space="preserve">D-090</t>
  </si>
  <si>
    <t xml:space="preserve">Domestic Sale Return (FY25-26)</t>
  </si>
  <si>
    <t xml:space="preserve">'DILEEP ESSENTIALS INC' appears as a return counterparty</t>
  </si>
  <si>
    <t xml:space="preserve">1 row</t>
  </si>
  <si>
    <t xml:space="preserve">Unclear whether it is a group export entity</t>
  </si>
  <si>
    <t xml:space="preserve">Listed as UNCLASSIFIED so it is never classified by elimination</t>
  </si>
  <si>
    <t xml:space="preserve">What is Dileep Essentials Inc?</t>
  </si>
  <si>
    <t xml:space="preserve">D-091</t>
  </si>
  <si>
    <t xml:space="preserve">Domestic Sales, PO</t>
  </si>
  <si>
    <t xml:space="preserve">Classification by elimination is unsafe until the partner list is complete</t>
  </si>
  <si>
    <t xml:space="preserve">Until the franchise / SIS / quick-commerce and factory names arrive, every unlisted company would become an employee (domestic) or a return-inward (PO)</t>
  </si>
  <si>
    <t xml:space="preserve">Real revenue silently treated as internal stock</t>
  </si>
  <si>
    <t xml:space="preserve">Safety switch partner_list_complete = false: unlisted names stay UNCLASSIFIED until the business confirms the list is complete</t>
  </si>
  <si>
    <t xml:space="preserve">D-092</t>
  </si>
  <si>
    <t xml:space="preserve">Domestic Sales / Returns, Stock Transfers</t>
  </si>
  <si>
    <t xml:space="preserve">Two possible supply routes to Blinkit</t>
  </si>
  <si>
    <t xml:space="preserve">Kiranakart (Blinkit) appears on domestic credit notes, while stock also reaches Blinkit feeder locations by ERP stock transfer</t>
  </si>
  <si>
    <t xml:space="preserve">Blinkit stock split across two pools or counted twice</t>
  </si>
  <si>
    <t xml:space="preserve">Kept as two locations: Blinkit consignment stock (invoiced) and the Blinkit feeder locations (transferred)</t>
  </si>
  <si>
    <t xml:space="preserve">Is Blinkit supplied by invoice, by stock transfer, or did it change over time?</t>
  </si>
  <si>
    <t xml:space="preserve">D-093</t>
  </si>
  <si>
    <t xml:space="preserve">Inward prefix 'STK' is shared by two receiving locations</t>
  </si>
  <si>
    <t xml:space="preserve">Used for both AMD2 (20 documents) and LKO1 (1)</t>
  </si>
  <si>
    <t xml:space="preserve">Receipts assigned to the wrong location</t>
  </si>
  <si>
    <t xml:space="preserve">Receiver taken from the linked outward document, not from the prefix</t>
  </si>
  <si>
    <t xml:space="preserve">Meaning</t>
  </si>
  <si>
    <t xml:space="preserve">The business answered; the answer is applied in the model.</t>
  </si>
  <si>
    <t xml:space="preserve">A data quirk the model deals with automatically; no business input needed.</t>
  </si>
  <si>
    <t xml:space="preserve">Waiting on an answer or data from the business.</t>
  </si>
  <si>
    <t xml:space="preserve">Waiting on a change or answer from the ERP team.</t>
  </si>
  <si>
    <t xml:space="preserve">Design is ready; must be re-checked when the full 1.5-year data arrives.</t>
  </si>
  <si>
    <t xml:space="preserve">The model uses a proposed rule until someone confirms or corrects it.</t>
  </si>
  <si>
    <t xml:space="preserve">How to update</t>
  </si>
  <si>
    <t xml:space="preserve">Change Status and fill 'Answer / resolution' in the Issue Log. Add new issues as new rows with the next D-number. The Summary sheet recalculates.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</si>
</sst>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DEDED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1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 t="n">
        <f aca="false">COUNTIF('Issue Log'!$H$2:$H$94,A4)</f>
        <v>26</v>
      </c>
      <c r="C4" s="3" t="n">
        <f aca="false">COUNTIFS('Issue Log'!$H$2:$H$94,A4,'Issue Log'!$J$2:$J$94,"High")</f>
        <v>10</v>
      </c>
      <c r="D4" s="3" t="n">
        <f aca="false">COUNTIFS('Issue Log'!$H$2:$H$94,A4,'Issue Log'!$J$2:$J$94,"Medium")</f>
        <v>13</v>
      </c>
      <c r="E4" s="3" t="n">
        <f aca="false">COUNTIFS('Issue Log'!$H$2:$H$94,A4,'Issue Log'!$J$2:$J$94,"Low")</f>
        <v>3</v>
      </c>
    </row>
    <row r="5" customFormat="false" ht="15" hidden="false" customHeight="false" outlineLevel="0" collapsed="false">
      <c r="A5" s="3" t="s">
        <v>7</v>
      </c>
      <c r="B5" s="3" t="n">
        <f aca="false">COUNTIF('Issue Log'!$H$2:$H$94,A5)</f>
        <v>30</v>
      </c>
      <c r="C5" s="3" t="n">
        <f aca="false">COUNTIFS('Issue Log'!$H$2:$H$94,A5,'Issue Log'!$J$2:$J$94,"High")</f>
        <v>5</v>
      </c>
      <c r="D5" s="3" t="n">
        <f aca="false">COUNTIFS('Issue Log'!$H$2:$H$94,A5,'Issue Log'!$J$2:$J$94,"Medium")</f>
        <v>9</v>
      </c>
      <c r="E5" s="3" t="n">
        <f aca="false">COUNTIFS('Issue Log'!$H$2:$H$94,A5,'Issue Log'!$J$2:$J$94,"Low")</f>
        <v>16</v>
      </c>
    </row>
    <row r="6" customFormat="false" ht="15" hidden="false" customHeight="false" outlineLevel="0" collapsed="false">
      <c r="A6" s="3" t="s">
        <v>8</v>
      </c>
      <c r="B6" s="3" t="n">
        <f aca="false">COUNTIF('Issue Log'!$H$2:$H$94,A6)</f>
        <v>23</v>
      </c>
      <c r="C6" s="3" t="n">
        <f aca="false">COUNTIFS('Issue Log'!$H$2:$H$94,A6,'Issue Log'!$J$2:$J$94,"High")</f>
        <v>7</v>
      </c>
      <c r="D6" s="3" t="n">
        <f aca="false">COUNTIFS('Issue Log'!$H$2:$H$94,A6,'Issue Log'!$J$2:$J$94,"Medium")</f>
        <v>11</v>
      </c>
      <c r="E6" s="3" t="n">
        <f aca="false">COUNTIFS('Issue Log'!$H$2:$H$94,A6,'Issue Log'!$J$2:$J$94,"Low")</f>
        <v>5</v>
      </c>
    </row>
    <row r="7" customFormat="false" ht="15" hidden="false" customHeight="false" outlineLevel="0" collapsed="false">
      <c r="A7" s="3" t="s">
        <v>9</v>
      </c>
      <c r="B7" s="3" t="n">
        <f aca="false">COUNTIF('Issue Log'!$H$2:$H$94,A7)</f>
        <v>8</v>
      </c>
      <c r="C7" s="3" t="n">
        <f aca="false">COUNTIFS('Issue Log'!$H$2:$H$94,A7,'Issue Log'!$J$2:$J$94,"High")</f>
        <v>2</v>
      </c>
      <c r="D7" s="3" t="n">
        <f aca="false">COUNTIFS('Issue Log'!$H$2:$H$94,A7,'Issue Log'!$J$2:$J$94,"Medium")</f>
        <v>4</v>
      </c>
      <c r="E7" s="3" t="n">
        <f aca="false">COUNTIFS('Issue Log'!$H$2:$H$94,A7,'Issue Log'!$J$2:$J$94,"Low")</f>
        <v>2</v>
      </c>
    </row>
    <row r="8" customFormat="false" ht="15" hidden="false" customHeight="false" outlineLevel="0" collapsed="false">
      <c r="A8" s="3" t="s">
        <v>10</v>
      </c>
      <c r="B8" s="3" t="n">
        <f aca="false">COUNTIF('Issue Log'!$H$2:$H$94,A8)</f>
        <v>3</v>
      </c>
      <c r="C8" s="3" t="n">
        <f aca="false">COUNTIFS('Issue Log'!$H$2:$H$94,A8,'Issue Log'!$J$2:$J$94,"High")</f>
        <v>0</v>
      </c>
      <c r="D8" s="3" t="n">
        <f aca="false">COUNTIFS('Issue Log'!$H$2:$H$94,A8,'Issue Log'!$J$2:$J$94,"Medium")</f>
        <v>1</v>
      </c>
      <c r="E8" s="3" t="n">
        <f aca="false">COUNTIFS('Issue Log'!$H$2:$H$94,A8,'Issue Log'!$J$2:$J$94,"Low")</f>
        <v>2</v>
      </c>
    </row>
    <row r="9" customFormat="false" ht="15" hidden="false" customHeight="false" outlineLevel="0" collapsed="false">
      <c r="A9" s="3" t="s">
        <v>11</v>
      </c>
      <c r="B9" s="3" t="n">
        <f aca="false">COUNTIF('Issue Log'!$H$2:$H$94,A9)</f>
        <v>3</v>
      </c>
      <c r="C9" s="3" t="n">
        <f aca="false">COUNTIFS('Issue Log'!$H$2:$H$94,A9,'Issue Log'!$J$2:$J$94,"High")</f>
        <v>0</v>
      </c>
      <c r="D9" s="3" t="n">
        <f aca="false">COUNTIFS('Issue Log'!$H$2:$H$94,A9,'Issue Log'!$J$2:$J$94,"Medium")</f>
        <v>1</v>
      </c>
      <c r="E9" s="3" t="n">
        <f aca="false">COUNTIFS('Issue Log'!$H$2:$H$94,A9,'Issue Log'!$J$2:$J$94,"Low")</f>
        <v>2</v>
      </c>
    </row>
    <row r="10" customFormat="false" ht="15" hidden="false" customHeight="false" outlineLevel="0" collapsed="false">
      <c r="A10" s="2" t="s">
        <v>12</v>
      </c>
      <c r="B10" s="2" t="n">
        <f aca="false">SUM(B4:B9)</f>
        <v>93</v>
      </c>
      <c r="C10" s="2" t="n">
        <f aca="false">SUM(C4:C9)</f>
        <v>24</v>
      </c>
      <c r="D10" s="2" t="n">
        <f aca="false">SUM(D4:D9)</f>
        <v>39</v>
      </c>
      <c r="E10" s="2" t="n">
        <f aca="false">SUM(E4:E9)</f>
        <v>30</v>
      </c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3" t="s">
        <v>13</v>
      </c>
      <c r="B12" s="3" t="str">
        <f aca="false">IF(B10=COUNTA('Issue Log'!$A$2:$A$94),"OK","MISMATCH - a status value is misspelled")</f>
        <v>OK</v>
      </c>
      <c r="C12" s="3"/>
      <c r="D12" s="3"/>
      <c r="E12" s="3"/>
    </row>
    <row r="13" customFormat="false" ht="15" hidden="false" customHeight="false" outlineLevel="0" collapsed="false">
      <c r="A13" s="3"/>
      <c r="B13" s="3"/>
      <c r="C13" s="3"/>
      <c r="D13" s="3"/>
      <c r="E13" s="3"/>
    </row>
    <row r="14" customFormat="false" ht="15" hidden="false" customHeight="false" outlineLevel="0" collapsed="false">
      <c r="A14" s="2" t="s">
        <v>14</v>
      </c>
      <c r="B14" s="2" t="s">
        <v>15</v>
      </c>
      <c r="C14" s="2"/>
      <c r="D14" s="2"/>
      <c r="E14" s="2"/>
    </row>
    <row r="15" customFormat="false" ht="15" hidden="false" customHeight="false" outlineLevel="0" collapsed="false">
      <c r="A15" s="3" t="s">
        <v>16</v>
      </c>
      <c r="B15" s="3" t="n">
        <f aca="false">COUNTIFS('Issue Log'!$K$2:$K$94,A15,'Issue Log'!$H$2:$H$94,"Open*")+COUNTIFS('Issue Log'!$K$2:$K$94,A15,'Issue Log'!$H$2:$H$94,"Assumed*")</f>
        <v>27</v>
      </c>
      <c r="C15" s="3"/>
      <c r="D15" s="3"/>
      <c r="E15" s="3"/>
    </row>
    <row r="16" customFormat="false" ht="15" hidden="false" customHeight="false" outlineLevel="0" collapsed="false">
      <c r="A16" s="3" t="s">
        <v>17</v>
      </c>
      <c r="B16" s="3" t="n">
        <f aca="false">COUNTIFS('Issue Log'!$K$2:$K$94,A16,'Issue Log'!$H$2:$H$94,"Open*")+COUNTIFS('Issue Log'!$K$2:$K$94,A16,'Issue Log'!$H$2:$H$94,"Assumed*")</f>
        <v>8</v>
      </c>
      <c r="C16" s="3"/>
      <c r="D16" s="3"/>
      <c r="E16" s="3"/>
    </row>
    <row r="17" customFormat="false" ht="15" hidden="false" customHeight="false" outlineLevel="0" collapsed="false">
      <c r="A17" s="3" t="s">
        <v>18</v>
      </c>
      <c r="B17" s="3" t="n">
        <f aca="false">COUNTIFS('Issue Log'!$K$2:$K$94,A17,'Issue Log'!$H$2:$H$94,"Open*")+COUNTIFS('Issue Log'!$K$2:$K$94,A17,'Issue Log'!$H$2:$H$94,"Assumed*")</f>
        <v>2</v>
      </c>
      <c r="C17" s="3"/>
      <c r="D17" s="3"/>
      <c r="E1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45"/>
    <col collapsed="false" customWidth="true" hidden="false" outlineLevel="0" max="5" min="5" style="0" width="48"/>
    <col collapsed="false" customWidth="true" hidden="false" outlineLevel="0" max="6" min="6" style="0" width="38"/>
    <col collapsed="false" customWidth="true" hidden="false" outlineLevel="0" max="7" min="7" style="0" width="45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10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1</v>
      </c>
      <c r="I1" s="4" t="s">
        <v>26</v>
      </c>
      <c r="J1" s="4" t="s">
        <v>27</v>
      </c>
      <c r="K1" s="4" t="s">
        <v>28</v>
      </c>
    </row>
    <row r="2" customFormat="false" ht="22.35" hidden="false" customHeight="false" outlineLevel="0" collapsed="false">
      <c r="A2" s="5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6</v>
      </c>
      <c r="I2" s="5" t="s">
        <v>36</v>
      </c>
      <c r="J2" s="5" t="s">
        <v>3</v>
      </c>
      <c r="K2" s="5" t="s">
        <v>16</v>
      </c>
    </row>
    <row r="3" customFormat="false" ht="15" hidden="false" customHeight="false" outlineLevel="0" collapsed="false">
      <c r="A3" s="5" t="s">
        <v>37</v>
      </c>
      <c r="B3" s="5" t="s">
        <v>30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8</v>
      </c>
      <c r="I3" s="5"/>
      <c r="J3" s="5" t="s">
        <v>3</v>
      </c>
      <c r="K3" s="5" t="s">
        <v>16</v>
      </c>
    </row>
    <row r="4" customFormat="false" ht="22.35" hidden="false" customHeight="false" outlineLevel="0" collapsed="false">
      <c r="A4" s="5" t="s">
        <v>43</v>
      </c>
      <c r="B4" s="5" t="s">
        <v>30</v>
      </c>
      <c r="C4" s="5" t="s">
        <v>44</v>
      </c>
      <c r="D4" s="5" t="s">
        <v>45</v>
      </c>
      <c r="E4" s="5" t="s">
        <v>46</v>
      </c>
      <c r="F4" s="5" t="s">
        <v>47</v>
      </c>
      <c r="G4" s="5" t="s">
        <v>48</v>
      </c>
      <c r="H4" s="5" t="s">
        <v>6</v>
      </c>
      <c r="I4" s="5" t="s">
        <v>49</v>
      </c>
      <c r="J4" s="5" t="s">
        <v>4</v>
      </c>
      <c r="K4" s="5" t="s">
        <v>18</v>
      </c>
    </row>
    <row r="5" customFormat="false" ht="22.35" hidden="false" customHeight="false" outlineLevel="0" collapsed="false">
      <c r="A5" s="5" t="s">
        <v>50</v>
      </c>
      <c r="B5" s="5" t="s">
        <v>30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55</v>
      </c>
      <c r="H5" s="5" t="s">
        <v>9</v>
      </c>
      <c r="I5" s="5" t="s">
        <v>56</v>
      </c>
      <c r="J5" s="5" t="s">
        <v>3</v>
      </c>
      <c r="K5" s="5" t="s">
        <v>17</v>
      </c>
    </row>
    <row r="6" customFormat="false" ht="22.35" hidden="false" customHeight="false" outlineLevel="0" collapsed="false">
      <c r="A6" s="5" t="s">
        <v>57</v>
      </c>
      <c r="B6" s="5" t="s">
        <v>30</v>
      </c>
      <c r="C6" s="5" t="s">
        <v>58</v>
      </c>
      <c r="D6" s="5" t="s">
        <v>59</v>
      </c>
      <c r="E6" s="5" t="s">
        <v>60</v>
      </c>
      <c r="F6" s="5" t="s">
        <v>61</v>
      </c>
      <c r="G6" s="5" t="s">
        <v>62</v>
      </c>
      <c r="H6" s="5" t="s">
        <v>8</v>
      </c>
      <c r="I6" s="5" t="s">
        <v>63</v>
      </c>
      <c r="J6" s="5" t="s">
        <v>4</v>
      </c>
      <c r="K6" s="5" t="s">
        <v>16</v>
      </c>
    </row>
    <row r="7" customFormat="false" ht="22.35" hidden="false" customHeight="false" outlineLevel="0" collapsed="false">
      <c r="A7" s="5" t="s">
        <v>64</v>
      </c>
      <c r="B7" s="5" t="s">
        <v>30</v>
      </c>
      <c r="C7" s="5" t="s">
        <v>65</v>
      </c>
      <c r="D7" s="5" t="s">
        <v>66</v>
      </c>
      <c r="E7" s="5" t="s">
        <v>67</v>
      </c>
      <c r="F7" s="5" t="s">
        <v>68</v>
      </c>
      <c r="G7" s="5" t="s">
        <v>69</v>
      </c>
      <c r="H7" s="5" t="s">
        <v>8</v>
      </c>
      <c r="I7" s="5" t="s">
        <v>70</v>
      </c>
      <c r="J7" s="5" t="s">
        <v>4</v>
      </c>
      <c r="K7" s="5" t="s">
        <v>16</v>
      </c>
    </row>
    <row r="8" customFormat="false" ht="32.8" hidden="false" customHeight="false" outlineLevel="0" collapsed="false">
      <c r="A8" s="5" t="s">
        <v>71</v>
      </c>
      <c r="B8" s="5" t="s">
        <v>30</v>
      </c>
      <c r="C8" s="5" t="s">
        <v>58</v>
      </c>
      <c r="D8" s="5" t="s">
        <v>72</v>
      </c>
      <c r="E8" s="5" t="s">
        <v>73</v>
      </c>
      <c r="F8" s="5" t="s">
        <v>74</v>
      </c>
      <c r="G8" s="5" t="s">
        <v>75</v>
      </c>
      <c r="H8" s="5" t="s">
        <v>8</v>
      </c>
      <c r="I8" s="5" t="s">
        <v>76</v>
      </c>
      <c r="J8" s="5" t="s">
        <v>3</v>
      </c>
      <c r="K8" s="5" t="s">
        <v>16</v>
      </c>
    </row>
    <row r="9" customFormat="false" ht="22.35" hidden="false" customHeight="false" outlineLevel="0" collapsed="false">
      <c r="A9" s="5" t="s">
        <v>77</v>
      </c>
      <c r="B9" s="5" t="s">
        <v>30</v>
      </c>
      <c r="C9" s="5" t="s">
        <v>78</v>
      </c>
      <c r="D9" s="5" t="s">
        <v>79</v>
      </c>
      <c r="E9" s="5" t="s">
        <v>80</v>
      </c>
      <c r="F9" s="5" t="s">
        <v>81</v>
      </c>
      <c r="G9" s="5" t="s">
        <v>82</v>
      </c>
      <c r="H9" s="5" t="s">
        <v>10</v>
      </c>
      <c r="I9" s="5"/>
      <c r="J9" s="5" t="s">
        <v>5</v>
      </c>
      <c r="K9" s="5" t="s">
        <v>16</v>
      </c>
    </row>
    <row r="10" customFormat="false" ht="22.35" hidden="false" customHeight="false" outlineLevel="0" collapsed="false">
      <c r="A10" s="5" t="s">
        <v>83</v>
      </c>
      <c r="B10" s="5" t="s">
        <v>84</v>
      </c>
      <c r="C10" s="5" t="s">
        <v>85</v>
      </c>
      <c r="D10" s="5" t="s">
        <v>86</v>
      </c>
      <c r="E10" s="5" t="s">
        <v>87</v>
      </c>
      <c r="F10" s="5" t="s">
        <v>88</v>
      </c>
      <c r="G10" s="5" t="s">
        <v>89</v>
      </c>
      <c r="H10" s="5" t="s">
        <v>6</v>
      </c>
      <c r="I10" s="5" t="s">
        <v>90</v>
      </c>
      <c r="J10" s="5" t="s">
        <v>3</v>
      </c>
      <c r="K10" s="5" t="s">
        <v>18</v>
      </c>
    </row>
    <row r="11" customFormat="false" ht="22.35" hidden="false" customHeight="false" outlineLevel="0" collapsed="false">
      <c r="A11" s="5" t="s">
        <v>91</v>
      </c>
      <c r="B11" s="5" t="s">
        <v>84</v>
      </c>
      <c r="C11" s="5" t="s">
        <v>85</v>
      </c>
      <c r="D11" s="5" t="s">
        <v>92</v>
      </c>
      <c r="E11" s="5" t="s">
        <v>93</v>
      </c>
      <c r="F11" s="5" t="s">
        <v>94</v>
      </c>
      <c r="G11" s="5" t="s">
        <v>95</v>
      </c>
      <c r="H11" s="5" t="s">
        <v>6</v>
      </c>
      <c r="I11" s="5" t="s">
        <v>96</v>
      </c>
      <c r="J11" s="5" t="s">
        <v>3</v>
      </c>
      <c r="K11" s="5" t="s">
        <v>18</v>
      </c>
    </row>
    <row r="12" customFormat="false" ht="32.8" hidden="false" customHeight="false" outlineLevel="0" collapsed="false">
      <c r="A12" s="5" t="s">
        <v>97</v>
      </c>
      <c r="B12" s="5" t="s">
        <v>84</v>
      </c>
      <c r="C12" s="5" t="s">
        <v>85</v>
      </c>
      <c r="D12" s="5" t="s">
        <v>98</v>
      </c>
      <c r="E12" s="5" t="s">
        <v>99</v>
      </c>
      <c r="F12" s="5" t="s">
        <v>100</v>
      </c>
      <c r="G12" s="5" t="s">
        <v>101</v>
      </c>
      <c r="H12" s="5" t="s">
        <v>6</v>
      </c>
      <c r="I12" s="5" t="s">
        <v>102</v>
      </c>
      <c r="J12" s="5" t="s">
        <v>3</v>
      </c>
      <c r="K12" s="5" t="s">
        <v>18</v>
      </c>
    </row>
    <row r="13" customFormat="false" ht="32.8" hidden="false" customHeight="false" outlineLevel="0" collapsed="false">
      <c r="A13" s="5" t="s">
        <v>103</v>
      </c>
      <c r="B13" s="5" t="s">
        <v>84</v>
      </c>
      <c r="C13" s="5" t="s">
        <v>85</v>
      </c>
      <c r="D13" s="5" t="s">
        <v>104</v>
      </c>
      <c r="E13" s="5" t="s">
        <v>105</v>
      </c>
      <c r="F13" s="5" t="s">
        <v>106</v>
      </c>
      <c r="G13" s="5" t="s">
        <v>107</v>
      </c>
      <c r="H13" s="5" t="s">
        <v>7</v>
      </c>
      <c r="I13" s="5"/>
      <c r="J13" s="5" t="s">
        <v>5</v>
      </c>
      <c r="K13" s="5" t="s">
        <v>18</v>
      </c>
    </row>
    <row r="14" customFormat="false" ht="22.35" hidden="false" customHeight="false" outlineLevel="0" collapsed="false">
      <c r="A14" s="5" t="s">
        <v>108</v>
      </c>
      <c r="B14" s="5" t="s">
        <v>84</v>
      </c>
      <c r="C14" s="5" t="s">
        <v>85</v>
      </c>
      <c r="D14" s="5" t="s">
        <v>109</v>
      </c>
      <c r="E14" s="5" t="s">
        <v>110</v>
      </c>
      <c r="F14" s="5" t="s">
        <v>111</v>
      </c>
      <c r="G14" s="5" t="s">
        <v>112</v>
      </c>
      <c r="H14" s="5" t="s">
        <v>7</v>
      </c>
      <c r="I14" s="5"/>
      <c r="J14" s="5" t="s">
        <v>4</v>
      </c>
      <c r="K14" s="5" t="s">
        <v>18</v>
      </c>
    </row>
    <row r="15" customFormat="false" ht="22.35" hidden="false" customHeight="false" outlineLevel="0" collapsed="false">
      <c r="A15" s="5" t="s">
        <v>113</v>
      </c>
      <c r="B15" s="5" t="s">
        <v>84</v>
      </c>
      <c r="C15" s="5" t="s">
        <v>85</v>
      </c>
      <c r="D15" s="5" t="s">
        <v>114</v>
      </c>
      <c r="E15" s="5" t="s">
        <v>115</v>
      </c>
      <c r="F15" s="5" t="s">
        <v>116</v>
      </c>
      <c r="G15" s="5" t="s">
        <v>117</v>
      </c>
      <c r="H15" s="5" t="s">
        <v>6</v>
      </c>
      <c r="I15" s="5" t="s">
        <v>118</v>
      </c>
      <c r="J15" s="5" t="s">
        <v>4</v>
      </c>
      <c r="K15" s="5" t="s">
        <v>18</v>
      </c>
    </row>
    <row r="16" customFormat="false" ht="22.35" hidden="false" customHeight="false" outlineLevel="0" collapsed="false">
      <c r="A16" s="5" t="s">
        <v>119</v>
      </c>
      <c r="B16" s="5" t="s">
        <v>84</v>
      </c>
      <c r="C16" s="5" t="s">
        <v>85</v>
      </c>
      <c r="D16" s="5" t="s">
        <v>120</v>
      </c>
      <c r="E16" s="5" t="s">
        <v>121</v>
      </c>
      <c r="F16" s="5" t="s">
        <v>122</v>
      </c>
      <c r="G16" s="5" t="s">
        <v>123</v>
      </c>
      <c r="H16" s="5" t="s">
        <v>11</v>
      </c>
      <c r="I16" s="5"/>
      <c r="J16" s="5" t="s">
        <v>5</v>
      </c>
      <c r="K16" s="5" t="s">
        <v>16</v>
      </c>
    </row>
    <row r="17" customFormat="false" ht="15" hidden="false" customHeight="false" outlineLevel="0" collapsed="false">
      <c r="A17" s="5" t="s">
        <v>124</v>
      </c>
      <c r="B17" s="5" t="s">
        <v>84</v>
      </c>
      <c r="C17" s="5" t="s">
        <v>85</v>
      </c>
      <c r="D17" s="5" t="s">
        <v>125</v>
      </c>
      <c r="E17" s="5" t="s">
        <v>126</v>
      </c>
      <c r="F17" s="5" t="s">
        <v>127</v>
      </c>
      <c r="G17" s="5" t="s">
        <v>128</v>
      </c>
      <c r="H17" s="5" t="s">
        <v>7</v>
      </c>
      <c r="I17" s="5"/>
      <c r="J17" s="5" t="s">
        <v>5</v>
      </c>
      <c r="K17" s="5" t="s">
        <v>17</v>
      </c>
    </row>
    <row r="18" customFormat="false" ht="15" hidden="false" customHeight="false" outlineLevel="0" collapsed="false">
      <c r="A18" s="5" t="s">
        <v>129</v>
      </c>
      <c r="B18" s="5" t="s">
        <v>84</v>
      </c>
      <c r="C18" s="5" t="s">
        <v>85</v>
      </c>
      <c r="D18" s="5" t="s">
        <v>130</v>
      </c>
      <c r="E18" s="5" t="s">
        <v>131</v>
      </c>
      <c r="F18" s="5" t="s">
        <v>132</v>
      </c>
      <c r="G18" s="5" t="s">
        <v>133</v>
      </c>
      <c r="H18" s="5" t="s">
        <v>6</v>
      </c>
      <c r="I18" s="5" t="s">
        <v>134</v>
      </c>
      <c r="J18" s="5" t="s">
        <v>3</v>
      </c>
      <c r="K18" s="5" t="s">
        <v>18</v>
      </c>
    </row>
    <row r="19" customFormat="false" ht="22.35" hidden="false" customHeight="false" outlineLevel="0" collapsed="false">
      <c r="A19" s="5" t="s">
        <v>135</v>
      </c>
      <c r="B19" s="5" t="s">
        <v>84</v>
      </c>
      <c r="C19" s="5" t="s">
        <v>136</v>
      </c>
      <c r="D19" s="5" t="s">
        <v>137</v>
      </c>
      <c r="E19" s="5" t="s">
        <v>138</v>
      </c>
      <c r="F19" s="5" t="s">
        <v>139</v>
      </c>
      <c r="G19" s="5" t="s">
        <v>140</v>
      </c>
      <c r="H19" s="5" t="s">
        <v>7</v>
      </c>
      <c r="I19" s="5"/>
      <c r="J19" s="5" t="s">
        <v>3</v>
      </c>
      <c r="K19" s="5" t="s">
        <v>18</v>
      </c>
    </row>
    <row r="20" customFormat="false" ht="22.35" hidden="false" customHeight="false" outlineLevel="0" collapsed="false">
      <c r="A20" s="5" t="s">
        <v>141</v>
      </c>
      <c r="B20" s="5" t="s">
        <v>142</v>
      </c>
      <c r="C20" s="5" t="s">
        <v>143</v>
      </c>
      <c r="D20" s="5" t="s">
        <v>144</v>
      </c>
      <c r="E20" s="5" t="s">
        <v>145</v>
      </c>
      <c r="F20" s="5" t="s">
        <v>146</v>
      </c>
      <c r="G20" s="5" t="s">
        <v>147</v>
      </c>
      <c r="H20" s="5" t="s">
        <v>8</v>
      </c>
      <c r="I20" s="5" t="s">
        <v>148</v>
      </c>
      <c r="J20" s="5" t="s">
        <v>3</v>
      </c>
      <c r="K20" s="5" t="s">
        <v>16</v>
      </c>
    </row>
    <row r="21" customFormat="false" ht="22.35" hidden="false" customHeight="false" outlineLevel="0" collapsed="false">
      <c r="A21" s="5" t="s">
        <v>149</v>
      </c>
      <c r="B21" s="5" t="s">
        <v>142</v>
      </c>
      <c r="C21" s="5" t="s">
        <v>143</v>
      </c>
      <c r="D21" s="5" t="s">
        <v>150</v>
      </c>
      <c r="E21" s="5" t="s">
        <v>151</v>
      </c>
      <c r="F21" s="5" t="s">
        <v>152</v>
      </c>
      <c r="G21" s="5" t="s">
        <v>153</v>
      </c>
      <c r="H21" s="5" t="s">
        <v>6</v>
      </c>
      <c r="I21" s="5" t="s">
        <v>154</v>
      </c>
      <c r="J21" s="5" t="s">
        <v>3</v>
      </c>
      <c r="K21" s="5" t="s">
        <v>18</v>
      </c>
    </row>
    <row r="22" customFormat="false" ht="22.35" hidden="false" customHeight="false" outlineLevel="0" collapsed="false">
      <c r="A22" s="5" t="s">
        <v>155</v>
      </c>
      <c r="B22" s="5" t="s">
        <v>142</v>
      </c>
      <c r="C22" s="5" t="s">
        <v>143</v>
      </c>
      <c r="D22" s="5" t="s">
        <v>156</v>
      </c>
      <c r="E22" s="5" t="s">
        <v>157</v>
      </c>
      <c r="F22" s="5" t="s">
        <v>158</v>
      </c>
      <c r="G22" s="5" t="s">
        <v>159</v>
      </c>
      <c r="H22" s="5" t="s">
        <v>6</v>
      </c>
      <c r="I22" s="5" t="s">
        <v>160</v>
      </c>
      <c r="J22" s="5" t="s">
        <v>5</v>
      </c>
      <c r="K22" s="5" t="s">
        <v>18</v>
      </c>
    </row>
    <row r="23" customFormat="false" ht="32.8" hidden="false" customHeight="false" outlineLevel="0" collapsed="false">
      <c r="A23" s="5" t="s">
        <v>161</v>
      </c>
      <c r="B23" s="5" t="s">
        <v>142</v>
      </c>
      <c r="C23" s="5" t="s">
        <v>143</v>
      </c>
      <c r="D23" s="5" t="s">
        <v>162</v>
      </c>
      <c r="E23" s="5" t="s">
        <v>163</v>
      </c>
      <c r="F23" s="5" t="s">
        <v>164</v>
      </c>
      <c r="G23" s="5" t="s">
        <v>165</v>
      </c>
      <c r="H23" s="5" t="s">
        <v>6</v>
      </c>
      <c r="I23" s="5" t="s">
        <v>166</v>
      </c>
      <c r="J23" s="5" t="s">
        <v>5</v>
      </c>
      <c r="K23" s="5" t="s">
        <v>18</v>
      </c>
    </row>
    <row r="24" customFormat="false" ht="22.35" hidden="false" customHeight="false" outlineLevel="0" collapsed="false">
      <c r="A24" s="5" t="s">
        <v>167</v>
      </c>
      <c r="B24" s="5" t="s">
        <v>142</v>
      </c>
      <c r="C24" s="5" t="s">
        <v>143</v>
      </c>
      <c r="D24" s="5" t="s">
        <v>168</v>
      </c>
      <c r="E24" s="5" t="s">
        <v>169</v>
      </c>
      <c r="F24" s="5" t="s">
        <v>170</v>
      </c>
      <c r="G24" s="5" t="s">
        <v>171</v>
      </c>
      <c r="H24" s="5" t="s">
        <v>8</v>
      </c>
      <c r="I24" s="5" t="s">
        <v>172</v>
      </c>
      <c r="J24" s="5" t="s">
        <v>3</v>
      </c>
      <c r="K24" s="5" t="s">
        <v>16</v>
      </c>
    </row>
    <row r="25" customFormat="false" ht="22.35" hidden="false" customHeight="false" outlineLevel="0" collapsed="false">
      <c r="A25" s="5" t="s">
        <v>173</v>
      </c>
      <c r="B25" s="5" t="s">
        <v>142</v>
      </c>
      <c r="C25" s="5" t="s">
        <v>143</v>
      </c>
      <c r="D25" s="5" t="s">
        <v>174</v>
      </c>
      <c r="E25" s="5" t="s">
        <v>175</v>
      </c>
      <c r="F25" s="5" t="s">
        <v>176</v>
      </c>
      <c r="G25" s="5" t="s">
        <v>177</v>
      </c>
      <c r="H25" s="5" t="s">
        <v>8</v>
      </c>
      <c r="I25" s="5" t="s">
        <v>178</v>
      </c>
      <c r="J25" s="5" t="s">
        <v>4</v>
      </c>
      <c r="K25" s="5" t="s">
        <v>16</v>
      </c>
    </row>
    <row r="26" customFormat="false" ht="22.35" hidden="false" customHeight="false" outlineLevel="0" collapsed="false">
      <c r="A26" s="5" t="s">
        <v>179</v>
      </c>
      <c r="B26" s="5" t="s">
        <v>142</v>
      </c>
      <c r="C26" s="5" t="s">
        <v>143</v>
      </c>
      <c r="D26" s="5" t="s">
        <v>180</v>
      </c>
      <c r="E26" s="5" t="s">
        <v>181</v>
      </c>
      <c r="F26" s="5" t="s">
        <v>182</v>
      </c>
      <c r="G26" s="5" t="s">
        <v>183</v>
      </c>
      <c r="H26" s="5" t="s">
        <v>7</v>
      </c>
      <c r="I26" s="5"/>
      <c r="J26" s="5" t="s">
        <v>4</v>
      </c>
      <c r="K26" s="5" t="s">
        <v>18</v>
      </c>
    </row>
    <row r="27" customFormat="false" ht="15" hidden="false" customHeight="false" outlineLevel="0" collapsed="false">
      <c r="A27" s="5" t="s">
        <v>184</v>
      </c>
      <c r="B27" s="5" t="s">
        <v>142</v>
      </c>
      <c r="C27" s="5" t="s">
        <v>143</v>
      </c>
      <c r="D27" s="5" t="s">
        <v>185</v>
      </c>
      <c r="E27" s="5" t="s">
        <v>186</v>
      </c>
      <c r="F27" s="5" t="s">
        <v>187</v>
      </c>
      <c r="G27" s="5" t="s">
        <v>188</v>
      </c>
      <c r="H27" s="5" t="s">
        <v>6</v>
      </c>
      <c r="I27" s="5" t="s">
        <v>102</v>
      </c>
      <c r="J27" s="5" t="s">
        <v>3</v>
      </c>
      <c r="K27" s="5" t="s">
        <v>18</v>
      </c>
    </row>
    <row r="28" customFormat="false" ht="22.35" hidden="false" customHeight="false" outlineLevel="0" collapsed="false">
      <c r="A28" s="5" t="s">
        <v>189</v>
      </c>
      <c r="B28" s="5" t="s">
        <v>142</v>
      </c>
      <c r="C28" s="5" t="s">
        <v>143</v>
      </c>
      <c r="D28" s="5" t="s">
        <v>190</v>
      </c>
      <c r="E28" s="5" t="s">
        <v>191</v>
      </c>
      <c r="F28" s="5" t="s">
        <v>192</v>
      </c>
      <c r="G28" s="5" t="s">
        <v>193</v>
      </c>
      <c r="H28" s="5" t="s">
        <v>8</v>
      </c>
      <c r="I28" s="5" t="s">
        <v>194</v>
      </c>
      <c r="J28" s="5" t="s">
        <v>5</v>
      </c>
      <c r="K28" s="5" t="s">
        <v>16</v>
      </c>
    </row>
    <row r="29" customFormat="false" ht="22.35" hidden="false" customHeight="false" outlineLevel="0" collapsed="false">
      <c r="A29" s="5" t="s">
        <v>195</v>
      </c>
      <c r="B29" s="5" t="s">
        <v>142</v>
      </c>
      <c r="C29" s="5" t="s">
        <v>143</v>
      </c>
      <c r="D29" s="5" t="s">
        <v>196</v>
      </c>
      <c r="E29" s="5" t="s">
        <v>197</v>
      </c>
      <c r="F29" s="5" t="s">
        <v>198</v>
      </c>
      <c r="G29" s="5" t="s">
        <v>199</v>
      </c>
      <c r="H29" s="5" t="s">
        <v>6</v>
      </c>
      <c r="I29" s="5" t="s">
        <v>200</v>
      </c>
      <c r="J29" s="5" t="s">
        <v>3</v>
      </c>
      <c r="K29" s="5" t="s">
        <v>18</v>
      </c>
    </row>
    <row r="30" customFormat="false" ht="15" hidden="false" customHeight="false" outlineLevel="0" collapsed="false">
      <c r="A30" s="5" t="s">
        <v>201</v>
      </c>
      <c r="B30" s="5" t="s">
        <v>202</v>
      </c>
      <c r="C30" s="5" t="s">
        <v>203</v>
      </c>
      <c r="D30" s="5" t="s">
        <v>204</v>
      </c>
      <c r="E30" s="5" t="s">
        <v>205</v>
      </c>
      <c r="F30" s="5" t="s">
        <v>206</v>
      </c>
      <c r="G30" s="5" t="s">
        <v>207</v>
      </c>
      <c r="H30" s="5" t="s">
        <v>6</v>
      </c>
      <c r="I30" s="5" t="s">
        <v>208</v>
      </c>
      <c r="J30" s="5" t="s">
        <v>4</v>
      </c>
      <c r="K30" s="5" t="s">
        <v>18</v>
      </c>
    </row>
    <row r="31" customFormat="false" ht="15" hidden="false" customHeight="false" outlineLevel="0" collapsed="false">
      <c r="A31" s="5" t="s">
        <v>209</v>
      </c>
      <c r="B31" s="5" t="s">
        <v>202</v>
      </c>
      <c r="C31" s="5" t="s">
        <v>210</v>
      </c>
      <c r="D31" s="5" t="s">
        <v>211</v>
      </c>
      <c r="E31" s="5" t="s">
        <v>212</v>
      </c>
      <c r="F31" s="5" t="s">
        <v>213</v>
      </c>
      <c r="G31" s="5" t="s">
        <v>214</v>
      </c>
      <c r="H31" s="5" t="s">
        <v>6</v>
      </c>
      <c r="I31" s="5" t="s">
        <v>215</v>
      </c>
      <c r="J31" s="5" t="s">
        <v>4</v>
      </c>
      <c r="K31" s="5" t="s">
        <v>18</v>
      </c>
    </row>
    <row r="32" customFormat="false" ht="22.35" hidden="false" customHeight="false" outlineLevel="0" collapsed="false">
      <c r="A32" s="5" t="s">
        <v>216</v>
      </c>
      <c r="B32" s="5" t="s">
        <v>202</v>
      </c>
      <c r="C32" s="5" t="s">
        <v>210</v>
      </c>
      <c r="D32" s="5" t="s">
        <v>217</v>
      </c>
      <c r="E32" s="5" t="s">
        <v>218</v>
      </c>
      <c r="F32" s="5" t="s">
        <v>219</v>
      </c>
      <c r="G32" s="5" t="s">
        <v>220</v>
      </c>
      <c r="H32" s="5" t="s">
        <v>6</v>
      </c>
      <c r="I32" s="5" t="s">
        <v>221</v>
      </c>
      <c r="J32" s="5" t="s">
        <v>4</v>
      </c>
      <c r="K32" s="5" t="s">
        <v>18</v>
      </c>
    </row>
    <row r="33" customFormat="false" ht="32.8" hidden="false" customHeight="false" outlineLevel="0" collapsed="false">
      <c r="A33" s="5" t="s">
        <v>222</v>
      </c>
      <c r="B33" s="5" t="s">
        <v>202</v>
      </c>
      <c r="C33" s="5" t="s">
        <v>210</v>
      </c>
      <c r="D33" s="5" t="s">
        <v>223</v>
      </c>
      <c r="E33" s="5" t="s">
        <v>224</v>
      </c>
      <c r="F33" s="5" t="s">
        <v>225</v>
      </c>
      <c r="G33" s="5" t="s">
        <v>226</v>
      </c>
      <c r="H33" s="5" t="s">
        <v>7</v>
      </c>
      <c r="I33" s="5"/>
      <c r="J33" s="5" t="s">
        <v>4</v>
      </c>
      <c r="K33" s="5" t="s">
        <v>18</v>
      </c>
    </row>
    <row r="34" customFormat="false" ht="15" hidden="false" customHeight="false" outlineLevel="0" collapsed="false">
      <c r="A34" s="5" t="s">
        <v>227</v>
      </c>
      <c r="B34" s="5" t="s">
        <v>202</v>
      </c>
      <c r="C34" s="5" t="s">
        <v>44</v>
      </c>
      <c r="D34" s="5" t="s">
        <v>228</v>
      </c>
      <c r="E34" s="5" t="s">
        <v>229</v>
      </c>
      <c r="F34" s="5" t="s">
        <v>230</v>
      </c>
      <c r="G34" s="5" t="s">
        <v>231</v>
      </c>
      <c r="H34" s="5" t="s">
        <v>7</v>
      </c>
      <c r="I34" s="5"/>
      <c r="J34" s="5" t="s">
        <v>5</v>
      </c>
      <c r="K34" s="5" t="s">
        <v>18</v>
      </c>
    </row>
    <row r="35" customFormat="false" ht="15" hidden="false" customHeight="false" outlineLevel="0" collapsed="false">
      <c r="A35" s="5" t="s">
        <v>232</v>
      </c>
      <c r="B35" s="5" t="s">
        <v>202</v>
      </c>
      <c r="C35" s="5" t="s">
        <v>203</v>
      </c>
      <c r="D35" s="5" t="s">
        <v>233</v>
      </c>
      <c r="E35" s="5" t="s">
        <v>234</v>
      </c>
      <c r="F35" s="5" t="s">
        <v>235</v>
      </c>
      <c r="G35" s="5" t="s">
        <v>236</v>
      </c>
      <c r="H35" s="5" t="s">
        <v>10</v>
      </c>
      <c r="I35" s="5"/>
      <c r="J35" s="5" t="s">
        <v>5</v>
      </c>
      <c r="K35" s="5" t="s">
        <v>18</v>
      </c>
    </row>
    <row r="36" customFormat="false" ht="15" hidden="false" customHeight="false" outlineLevel="0" collapsed="false">
      <c r="A36" s="5" t="s">
        <v>237</v>
      </c>
      <c r="B36" s="5" t="s">
        <v>202</v>
      </c>
      <c r="C36" s="5" t="s">
        <v>203</v>
      </c>
      <c r="D36" s="5" t="s">
        <v>238</v>
      </c>
      <c r="E36" s="5" t="s">
        <v>239</v>
      </c>
      <c r="F36" s="5" t="s">
        <v>240</v>
      </c>
      <c r="G36" s="5" t="s">
        <v>241</v>
      </c>
      <c r="H36" s="5" t="s">
        <v>7</v>
      </c>
      <c r="I36" s="5"/>
      <c r="J36" s="5" t="s">
        <v>5</v>
      </c>
      <c r="K36" s="5" t="s">
        <v>18</v>
      </c>
    </row>
    <row r="37" customFormat="false" ht="22.35" hidden="false" customHeight="false" outlineLevel="0" collapsed="false">
      <c r="A37" s="5" t="s">
        <v>242</v>
      </c>
      <c r="B37" s="5" t="s">
        <v>202</v>
      </c>
      <c r="C37" s="5" t="s">
        <v>210</v>
      </c>
      <c r="D37" s="5" t="s">
        <v>243</v>
      </c>
      <c r="E37" s="5" t="s">
        <v>244</v>
      </c>
      <c r="F37" s="5" t="s">
        <v>245</v>
      </c>
      <c r="G37" s="5" t="s">
        <v>246</v>
      </c>
      <c r="H37" s="5" t="s">
        <v>9</v>
      </c>
      <c r="I37" s="5" t="s">
        <v>247</v>
      </c>
      <c r="J37" s="5" t="s">
        <v>5</v>
      </c>
      <c r="K37" s="5" t="s">
        <v>17</v>
      </c>
    </row>
    <row r="38" customFormat="false" ht="15" hidden="false" customHeight="false" outlineLevel="0" collapsed="false">
      <c r="A38" s="5" t="s">
        <v>248</v>
      </c>
      <c r="B38" s="5" t="s">
        <v>202</v>
      </c>
      <c r="C38" s="5" t="s">
        <v>249</v>
      </c>
      <c r="D38" s="5" t="s">
        <v>250</v>
      </c>
      <c r="E38" s="5" t="s">
        <v>251</v>
      </c>
      <c r="F38" s="5" t="s">
        <v>252</v>
      </c>
      <c r="G38" s="5" t="s">
        <v>253</v>
      </c>
      <c r="H38" s="5" t="s">
        <v>6</v>
      </c>
      <c r="I38" s="5" t="s">
        <v>254</v>
      </c>
      <c r="J38" s="5" t="s">
        <v>4</v>
      </c>
      <c r="K38" s="5" t="s">
        <v>18</v>
      </c>
    </row>
    <row r="39" customFormat="false" ht="22.35" hidden="false" customHeight="false" outlineLevel="0" collapsed="false">
      <c r="A39" s="5" t="s">
        <v>255</v>
      </c>
      <c r="B39" s="5" t="s">
        <v>256</v>
      </c>
      <c r="C39" s="5" t="s">
        <v>257</v>
      </c>
      <c r="D39" s="5" t="s">
        <v>258</v>
      </c>
      <c r="E39" s="5" t="s">
        <v>259</v>
      </c>
      <c r="F39" s="5" t="s">
        <v>260</v>
      </c>
      <c r="G39" s="5" t="s">
        <v>261</v>
      </c>
      <c r="H39" s="5" t="s">
        <v>9</v>
      </c>
      <c r="I39" s="5" t="s">
        <v>262</v>
      </c>
      <c r="J39" s="5" t="s">
        <v>3</v>
      </c>
      <c r="K39" s="5" t="s">
        <v>17</v>
      </c>
    </row>
    <row r="40" customFormat="false" ht="43.25" hidden="false" customHeight="false" outlineLevel="0" collapsed="false">
      <c r="A40" s="5" t="s">
        <v>263</v>
      </c>
      <c r="B40" s="5" t="s">
        <v>256</v>
      </c>
      <c r="C40" s="5" t="s">
        <v>257</v>
      </c>
      <c r="D40" s="5" t="s">
        <v>264</v>
      </c>
      <c r="E40" s="5" t="s">
        <v>265</v>
      </c>
      <c r="F40" s="5" t="s">
        <v>266</v>
      </c>
      <c r="G40" s="5" t="s">
        <v>267</v>
      </c>
      <c r="H40" s="5" t="s">
        <v>9</v>
      </c>
      <c r="I40" s="5" t="s">
        <v>268</v>
      </c>
      <c r="J40" s="5" t="s">
        <v>4</v>
      </c>
      <c r="K40" s="5" t="s">
        <v>17</v>
      </c>
    </row>
    <row r="41" customFormat="false" ht="15" hidden="false" customHeight="false" outlineLevel="0" collapsed="false">
      <c r="A41" s="5" t="s">
        <v>269</v>
      </c>
      <c r="B41" s="5" t="s">
        <v>256</v>
      </c>
      <c r="C41" s="5" t="s">
        <v>270</v>
      </c>
      <c r="D41" s="5" t="s">
        <v>271</v>
      </c>
      <c r="E41" s="5" t="s">
        <v>272</v>
      </c>
      <c r="F41" s="5" t="s">
        <v>273</v>
      </c>
      <c r="G41" s="5" t="s">
        <v>274</v>
      </c>
      <c r="H41" s="5" t="s">
        <v>7</v>
      </c>
      <c r="I41" s="5"/>
      <c r="J41" s="5" t="s">
        <v>5</v>
      </c>
      <c r="K41" s="5" t="s">
        <v>18</v>
      </c>
    </row>
    <row r="42" customFormat="false" ht="15" hidden="false" customHeight="false" outlineLevel="0" collapsed="false">
      <c r="A42" s="5" t="s">
        <v>275</v>
      </c>
      <c r="B42" s="5" t="s">
        <v>256</v>
      </c>
      <c r="C42" s="5" t="s">
        <v>276</v>
      </c>
      <c r="D42" s="5" t="s">
        <v>277</v>
      </c>
      <c r="E42" s="5" t="s">
        <v>278</v>
      </c>
      <c r="F42" s="5" t="s">
        <v>279</v>
      </c>
      <c r="G42" s="5" t="s">
        <v>280</v>
      </c>
      <c r="H42" s="5" t="s">
        <v>7</v>
      </c>
      <c r="I42" s="5"/>
      <c r="J42" s="5" t="s">
        <v>5</v>
      </c>
      <c r="K42" s="5" t="s">
        <v>18</v>
      </c>
    </row>
    <row r="43" customFormat="false" ht="22.35" hidden="false" customHeight="false" outlineLevel="0" collapsed="false">
      <c r="A43" s="5" t="s">
        <v>281</v>
      </c>
      <c r="B43" s="5" t="s">
        <v>256</v>
      </c>
      <c r="C43" s="5" t="s">
        <v>257</v>
      </c>
      <c r="D43" s="5" t="s">
        <v>282</v>
      </c>
      <c r="E43" s="5" t="s">
        <v>283</v>
      </c>
      <c r="F43" s="5" t="s">
        <v>284</v>
      </c>
      <c r="G43" s="5" t="s">
        <v>285</v>
      </c>
      <c r="H43" s="5" t="s">
        <v>7</v>
      </c>
      <c r="I43" s="5"/>
      <c r="J43" s="5" t="s">
        <v>5</v>
      </c>
      <c r="K43" s="5" t="s">
        <v>18</v>
      </c>
    </row>
    <row r="44" customFormat="false" ht="22.35" hidden="false" customHeight="false" outlineLevel="0" collapsed="false">
      <c r="A44" s="5" t="s">
        <v>286</v>
      </c>
      <c r="B44" s="5" t="s">
        <v>256</v>
      </c>
      <c r="C44" s="5" t="s">
        <v>287</v>
      </c>
      <c r="D44" s="5" t="s">
        <v>288</v>
      </c>
      <c r="E44" s="5" t="s">
        <v>289</v>
      </c>
      <c r="F44" s="5" t="s">
        <v>290</v>
      </c>
      <c r="G44" s="5" t="s">
        <v>291</v>
      </c>
      <c r="H44" s="5" t="s">
        <v>7</v>
      </c>
      <c r="I44" s="5" t="s">
        <v>292</v>
      </c>
      <c r="J44" s="5" t="s">
        <v>3</v>
      </c>
      <c r="K44" s="5" t="s">
        <v>18</v>
      </c>
    </row>
    <row r="45" customFormat="false" ht="22.35" hidden="false" customHeight="false" outlineLevel="0" collapsed="false">
      <c r="A45" s="5" t="s">
        <v>293</v>
      </c>
      <c r="B45" s="5" t="s">
        <v>294</v>
      </c>
      <c r="C45" s="5" t="s">
        <v>295</v>
      </c>
      <c r="D45" s="5" t="s">
        <v>296</v>
      </c>
      <c r="E45" s="5" t="s">
        <v>297</v>
      </c>
      <c r="F45" s="5" t="s">
        <v>298</v>
      </c>
      <c r="G45" s="5" t="s">
        <v>299</v>
      </c>
      <c r="H45" s="5" t="s">
        <v>8</v>
      </c>
      <c r="I45" s="5" t="s">
        <v>300</v>
      </c>
      <c r="J45" s="5" t="s">
        <v>3</v>
      </c>
      <c r="K45" s="5" t="s">
        <v>16</v>
      </c>
    </row>
    <row r="46" customFormat="false" ht="15" hidden="false" customHeight="false" outlineLevel="0" collapsed="false">
      <c r="A46" s="5" t="s">
        <v>301</v>
      </c>
      <c r="B46" s="5" t="s">
        <v>294</v>
      </c>
      <c r="C46" s="5" t="s">
        <v>295</v>
      </c>
      <c r="D46" s="5" t="s">
        <v>302</v>
      </c>
      <c r="E46" s="5" t="s">
        <v>303</v>
      </c>
      <c r="F46" s="5" t="s">
        <v>304</v>
      </c>
      <c r="G46" s="5" t="s">
        <v>305</v>
      </c>
      <c r="H46" s="5" t="s">
        <v>6</v>
      </c>
      <c r="I46" s="5" t="s">
        <v>306</v>
      </c>
      <c r="J46" s="5" t="s">
        <v>4</v>
      </c>
      <c r="K46" s="5" t="s">
        <v>18</v>
      </c>
    </row>
    <row r="47" customFormat="false" ht="15" hidden="false" customHeight="false" outlineLevel="0" collapsed="false">
      <c r="A47" s="5" t="s">
        <v>307</v>
      </c>
      <c r="B47" s="5" t="s">
        <v>294</v>
      </c>
      <c r="C47" s="5" t="s">
        <v>295</v>
      </c>
      <c r="D47" s="5" t="s">
        <v>308</v>
      </c>
      <c r="E47" s="5" t="s">
        <v>309</v>
      </c>
      <c r="F47" s="5" t="s">
        <v>310</v>
      </c>
      <c r="G47" s="5" t="s">
        <v>311</v>
      </c>
      <c r="H47" s="5" t="s">
        <v>7</v>
      </c>
      <c r="I47" s="5"/>
      <c r="J47" s="5" t="s">
        <v>5</v>
      </c>
      <c r="K47" s="5" t="s">
        <v>18</v>
      </c>
    </row>
    <row r="48" customFormat="false" ht="43.25" hidden="false" customHeight="false" outlineLevel="0" collapsed="false">
      <c r="A48" s="5" t="s">
        <v>312</v>
      </c>
      <c r="B48" s="5" t="s">
        <v>294</v>
      </c>
      <c r="C48" s="5" t="s">
        <v>295</v>
      </c>
      <c r="D48" s="5" t="s">
        <v>313</v>
      </c>
      <c r="E48" s="5" t="s">
        <v>314</v>
      </c>
      <c r="F48" s="5" t="s">
        <v>315</v>
      </c>
      <c r="G48" s="5" t="s">
        <v>316</v>
      </c>
      <c r="H48" s="5" t="s">
        <v>9</v>
      </c>
      <c r="I48" s="5" t="s">
        <v>317</v>
      </c>
      <c r="J48" s="5" t="s">
        <v>4</v>
      </c>
      <c r="K48" s="5" t="s">
        <v>17</v>
      </c>
    </row>
    <row r="49" customFormat="false" ht="22.35" hidden="false" customHeight="false" outlineLevel="0" collapsed="false">
      <c r="A49" s="5" t="s">
        <v>318</v>
      </c>
      <c r="B49" s="5" t="s">
        <v>51</v>
      </c>
      <c r="C49" s="5" t="s">
        <v>319</v>
      </c>
      <c r="D49" s="5" t="s">
        <v>320</v>
      </c>
      <c r="E49" s="5" t="s">
        <v>321</v>
      </c>
      <c r="F49" s="5" t="s">
        <v>322</v>
      </c>
      <c r="G49" s="5" t="s">
        <v>323</v>
      </c>
      <c r="H49" s="5" t="s">
        <v>7</v>
      </c>
      <c r="I49" s="5"/>
      <c r="J49" s="5" t="s">
        <v>4</v>
      </c>
      <c r="K49" s="5" t="s">
        <v>18</v>
      </c>
    </row>
    <row r="50" customFormat="false" ht="22.35" hidden="false" customHeight="false" outlineLevel="0" collapsed="false">
      <c r="A50" s="5" t="s">
        <v>324</v>
      </c>
      <c r="B50" s="5" t="s">
        <v>51</v>
      </c>
      <c r="C50" s="5" t="s">
        <v>319</v>
      </c>
      <c r="D50" s="5" t="s">
        <v>325</v>
      </c>
      <c r="E50" s="5" t="s">
        <v>326</v>
      </c>
      <c r="F50" s="5" t="s">
        <v>327</v>
      </c>
      <c r="G50" s="5" t="s">
        <v>328</v>
      </c>
      <c r="H50" s="5" t="s">
        <v>6</v>
      </c>
      <c r="I50" s="5" t="s">
        <v>329</v>
      </c>
      <c r="J50" s="5" t="s">
        <v>4</v>
      </c>
      <c r="K50" s="5" t="s">
        <v>18</v>
      </c>
    </row>
    <row r="51" customFormat="false" ht="22.35" hidden="false" customHeight="false" outlineLevel="0" collapsed="false">
      <c r="A51" s="5" t="s">
        <v>330</v>
      </c>
      <c r="B51" s="5" t="s">
        <v>51</v>
      </c>
      <c r="C51" s="5" t="s">
        <v>331</v>
      </c>
      <c r="D51" s="5" t="s">
        <v>332</v>
      </c>
      <c r="E51" s="5" t="s">
        <v>333</v>
      </c>
      <c r="F51" s="5" t="s">
        <v>334</v>
      </c>
      <c r="G51" s="5" t="s">
        <v>335</v>
      </c>
      <c r="H51" s="5" t="s">
        <v>8</v>
      </c>
      <c r="I51" s="5" t="s">
        <v>336</v>
      </c>
      <c r="J51" s="5" t="s">
        <v>4</v>
      </c>
      <c r="K51" s="5" t="s">
        <v>16</v>
      </c>
    </row>
    <row r="52" customFormat="false" ht="15" hidden="false" customHeight="false" outlineLevel="0" collapsed="false">
      <c r="A52" s="5" t="s">
        <v>337</v>
      </c>
      <c r="B52" s="5" t="s">
        <v>51</v>
      </c>
      <c r="C52" s="5" t="s">
        <v>338</v>
      </c>
      <c r="D52" s="5" t="s">
        <v>339</v>
      </c>
      <c r="E52" s="5" t="s">
        <v>340</v>
      </c>
      <c r="F52" s="5" t="s">
        <v>341</v>
      </c>
      <c r="G52" s="5" t="s">
        <v>342</v>
      </c>
      <c r="H52" s="5" t="s">
        <v>8</v>
      </c>
      <c r="I52" s="5" t="s">
        <v>343</v>
      </c>
      <c r="J52" s="5" t="s">
        <v>4</v>
      </c>
      <c r="K52" s="5" t="s">
        <v>16</v>
      </c>
    </row>
    <row r="53" customFormat="false" ht="22.35" hidden="false" customHeight="false" outlineLevel="0" collapsed="false">
      <c r="A53" s="5" t="s">
        <v>344</v>
      </c>
      <c r="B53" s="5" t="s">
        <v>51</v>
      </c>
      <c r="C53" s="5" t="s">
        <v>345</v>
      </c>
      <c r="D53" s="5" t="s">
        <v>346</v>
      </c>
      <c r="E53" s="5" t="s">
        <v>347</v>
      </c>
      <c r="F53" s="5" t="s">
        <v>348</v>
      </c>
      <c r="G53" s="5" t="s">
        <v>349</v>
      </c>
      <c r="H53" s="5" t="s">
        <v>8</v>
      </c>
      <c r="I53" s="5" t="s">
        <v>350</v>
      </c>
      <c r="J53" s="5" t="s">
        <v>4</v>
      </c>
      <c r="K53" s="5" t="s">
        <v>16</v>
      </c>
    </row>
    <row r="54" customFormat="false" ht="15" hidden="false" customHeight="false" outlineLevel="0" collapsed="false">
      <c r="A54" s="5" t="s">
        <v>351</v>
      </c>
      <c r="B54" s="5" t="s">
        <v>51</v>
      </c>
      <c r="C54" s="5" t="s">
        <v>319</v>
      </c>
      <c r="D54" s="5" t="s">
        <v>352</v>
      </c>
      <c r="E54" s="5" t="s">
        <v>353</v>
      </c>
      <c r="F54" s="5" t="s">
        <v>354</v>
      </c>
      <c r="G54" s="5" t="s">
        <v>355</v>
      </c>
      <c r="H54" s="5" t="s">
        <v>7</v>
      </c>
      <c r="I54" s="5"/>
      <c r="J54" s="5" t="s">
        <v>5</v>
      </c>
      <c r="K54" s="5" t="s">
        <v>18</v>
      </c>
    </row>
    <row r="55" customFormat="false" ht="22.35" hidden="false" customHeight="false" outlineLevel="0" collapsed="false">
      <c r="A55" s="5" t="s">
        <v>356</v>
      </c>
      <c r="B55" s="5" t="s">
        <v>357</v>
      </c>
      <c r="C55" s="5" t="s">
        <v>358</v>
      </c>
      <c r="D55" s="5" t="s">
        <v>359</v>
      </c>
      <c r="E55" s="5" t="s">
        <v>360</v>
      </c>
      <c r="F55" s="5" t="s">
        <v>361</v>
      </c>
      <c r="G55" s="5" t="s">
        <v>362</v>
      </c>
      <c r="H55" s="5" t="s">
        <v>6</v>
      </c>
      <c r="I55" s="5" t="s">
        <v>363</v>
      </c>
      <c r="J55" s="5" t="s">
        <v>3</v>
      </c>
      <c r="K55" s="5" t="s">
        <v>18</v>
      </c>
    </row>
    <row r="56" customFormat="false" ht="22.35" hidden="false" customHeight="false" outlineLevel="0" collapsed="false">
      <c r="A56" s="5" t="s">
        <v>364</v>
      </c>
      <c r="B56" s="5" t="s">
        <v>357</v>
      </c>
      <c r="C56" s="5" t="s">
        <v>358</v>
      </c>
      <c r="D56" s="5" t="s">
        <v>365</v>
      </c>
      <c r="E56" s="5"/>
      <c r="F56" s="5" t="s">
        <v>366</v>
      </c>
      <c r="G56" s="5" t="s">
        <v>367</v>
      </c>
      <c r="H56" s="5" t="s">
        <v>6</v>
      </c>
      <c r="I56" s="5" t="s">
        <v>368</v>
      </c>
      <c r="J56" s="5" t="s">
        <v>4</v>
      </c>
      <c r="K56" s="5" t="s">
        <v>18</v>
      </c>
    </row>
    <row r="57" customFormat="false" ht="15" hidden="false" customHeight="false" outlineLevel="0" collapsed="false">
      <c r="A57" s="5" t="s">
        <v>369</v>
      </c>
      <c r="B57" s="5" t="s">
        <v>357</v>
      </c>
      <c r="C57" s="5" t="s">
        <v>358</v>
      </c>
      <c r="D57" s="5" t="s">
        <v>370</v>
      </c>
      <c r="E57" s="5" t="s">
        <v>371</v>
      </c>
      <c r="F57" s="5" t="s">
        <v>372</v>
      </c>
      <c r="G57" s="5" t="s">
        <v>373</v>
      </c>
      <c r="H57" s="5" t="s">
        <v>7</v>
      </c>
      <c r="I57" s="5"/>
      <c r="J57" s="5" t="s">
        <v>5</v>
      </c>
      <c r="K57" s="5" t="s">
        <v>18</v>
      </c>
    </row>
    <row r="58" customFormat="false" ht="22.35" hidden="false" customHeight="false" outlineLevel="0" collapsed="false">
      <c r="A58" s="5" t="s">
        <v>374</v>
      </c>
      <c r="B58" s="5" t="s">
        <v>78</v>
      </c>
      <c r="C58" s="5" t="s">
        <v>78</v>
      </c>
      <c r="D58" s="5" t="s">
        <v>375</v>
      </c>
      <c r="E58" s="5" t="s">
        <v>376</v>
      </c>
      <c r="F58" s="5" t="s">
        <v>377</v>
      </c>
      <c r="G58" s="5" t="s">
        <v>378</v>
      </c>
      <c r="H58" s="5" t="s">
        <v>6</v>
      </c>
      <c r="I58" s="5" t="s">
        <v>379</v>
      </c>
      <c r="J58" s="5" t="s">
        <v>4</v>
      </c>
      <c r="K58" s="5" t="s">
        <v>18</v>
      </c>
    </row>
    <row r="59" customFormat="false" ht="15" hidden="false" customHeight="false" outlineLevel="0" collapsed="false">
      <c r="A59" s="5" t="s">
        <v>380</v>
      </c>
      <c r="B59" s="5" t="s">
        <v>78</v>
      </c>
      <c r="C59" s="5" t="s">
        <v>78</v>
      </c>
      <c r="D59" s="5" t="s">
        <v>381</v>
      </c>
      <c r="E59" s="5" t="s">
        <v>382</v>
      </c>
      <c r="F59" s="5" t="s">
        <v>383</v>
      </c>
      <c r="G59" s="5" t="s">
        <v>384</v>
      </c>
      <c r="H59" s="5" t="s">
        <v>6</v>
      </c>
      <c r="I59" s="5" t="s">
        <v>385</v>
      </c>
      <c r="J59" s="5" t="s">
        <v>4</v>
      </c>
      <c r="K59" s="5" t="s">
        <v>18</v>
      </c>
    </row>
    <row r="60" customFormat="false" ht="22.35" hidden="false" customHeight="false" outlineLevel="0" collapsed="false">
      <c r="A60" s="5" t="s">
        <v>386</v>
      </c>
      <c r="B60" s="5" t="s">
        <v>78</v>
      </c>
      <c r="C60" s="5" t="s">
        <v>78</v>
      </c>
      <c r="D60" s="5" t="s">
        <v>387</v>
      </c>
      <c r="E60" s="5" t="s">
        <v>388</v>
      </c>
      <c r="F60" s="5" t="s">
        <v>389</v>
      </c>
      <c r="G60" s="5" t="s">
        <v>390</v>
      </c>
      <c r="H60" s="5" t="s">
        <v>10</v>
      </c>
      <c r="I60" s="5" t="s">
        <v>391</v>
      </c>
      <c r="J60" s="5" t="s">
        <v>4</v>
      </c>
      <c r="K60" s="5" t="s">
        <v>18</v>
      </c>
    </row>
    <row r="61" customFormat="false" ht="15" hidden="false" customHeight="false" outlineLevel="0" collapsed="false">
      <c r="A61" s="5" t="s">
        <v>392</v>
      </c>
      <c r="B61" s="5" t="s">
        <v>78</v>
      </c>
      <c r="C61" s="5" t="s">
        <v>78</v>
      </c>
      <c r="D61" s="5" t="s">
        <v>393</v>
      </c>
      <c r="E61" s="5" t="s">
        <v>394</v>
      </c>
      <c r="F61" s="5" t="s">
        <v>395</v>
      </c>
      <c r="G61" s="5" t="s">
        <v>396</v>
      </c>
      <c r="H61" s="5" t="s">
        <v>9</v>
      </c>
      <c r="I61" s="5" t="s">
        <v>397</v>
      </c>
      <c r="J61" s="5" t="s">
        <v>4</v>
      </c>
      <c r="K61" s="5" t="s">
        <v>17</v>
      </c>
    </row>
    <row r="62" customFormat="false" ht="15" hidden="false" customHeight="false" outlineLevel="0" collapsed="false">
      <c r="A62" s="5" t="s">
        <v>398</v>
      </c>
      <c r="B62" s="5" t="s">
        <v>78</v>
      </c>
      <c r="C62" s="5" t="s">
        <v>78</v>
      </c>
      <c r="D62" s="5" t="s">
        <v>399</v>
      </c>
      <c r="E62" s="5" t="s">
        <v>400</v>
      </c>
      <c r="F62" s="5" t="s">
        <v>401</v>
      </c>
      <c r="G62" s="5" t="s">
        <v>402</v>
      </c>
      <c r="H62" s="5" t="s">
        <v>7</v>
      </c>
      <c r="I62" s="5"/>
      <c r="J62" s="5" t="s">
        <v>3</v>
      </c>
      <c r="K62" s="5" t="s">
        <v>18</v>
      </c>
    </row>
    <row r="63" customFormat="false" ht="15" hidden="false" customHeight="false" outlineLevel="0" collapsed="false">
      <c r="A63" s="5" t="s">
        <v>403</v>
      </c>
      <c r="B63" s="5" t="s">
        <v>78</v>
      </c>
      <c r="C63" s="5" t="s">
        <v>78</v>
      </c>
      <c r="D63" s="5" t="s">
        <v>404</v>
      </c>
      <c r="E63" s="5" t="s">
        <v>405</v>
      </c>
      <c r="F63" s="5" t="s">
        <v>406</v>
      </c>
      <c r="G63" s="5" t="s">
        <v>407</v>
      </c>
      <c r="H63" s="5" t="s">
        <v>7</v>
      </c>
      <c r="I63" s="5"/>
      <c r="J63" s="5" t="s">
        <v>5</v>
      </c>
      <c r="K63" s="5" t="s">
        <v>18</v>
      </c>
    </row>
    <row r="64" customFormat="false" ht="15" hidden="false" customHeight="false" outlineLevel="0" collapsed="false">
      <c r="A64" s="5" t="s">
        <v>408</v>
      </c>
      <c r="B64" s="5" t="s">
        <v>78</v>
      </c>
      <c r="C64" s="5" t="s">
        <v>78</v>
      </c>
      <c r="D64" s="5" t="s">
        <v>409</v>
      </c>
      <c r="E64" s="5" t="s">
        <v>410</v>
      </c>
      <c r="F64" s="5" t="s">
        <v>411</v>
      </c>
      <c r="G64" s="5" t="s">
        <v>412</v>
      </c>
      <c r="H64" s="5" t="s">
        <v>7</v>
      </c>
      <c r="I64" s="5"/>
      <c r="J64" s="5" t="s">
        <v>5</v>
      </c>
      <c r="K64" s="5" t="s">
        <v>18</v>
      </c>
    </row>
    <row r="65" customFormat="false" ht="15" hidden="false" customHeight="false" outlineLevel="0" collapsed="false">
      <c r="A65" s="5" t="s">
        <v>413</v>
      </c>
      <c r="B65" s="5" t="s">
        <v>414</v>
      </c>
      <c r="C65" s="5" t="s">
        <v>415</v>
      </c>
      <c r="D65" s="5" t="s">
        <v>416</v>
      </c>
      <c r="E65" s="5" t="s">
        <v>417</v>
      </c>
      <c r="F65" s="5" t="s">
        <v>418</v>
      </c>
      <c r="G65" s="5" t="s">
        <v>419</v>
      </c>
      <c r="H65" s="5" t="s">
        <v>6</v>
      </c>
      <c r="I65" s="5" t="s">
        <v>420</v>
      </c>
      <c r="J65" s="5" t="s">
        <v>4</v>
      </c>
      <c r="K65" s="5" t="s">
        <v>18</v>
      </c>
    </row>
    <row r="66" customFormat="false" ht="15" hidden="false" customHeight="false" outlineLevel="0" collapsed="false">
      <c r="A66" s="5" t="s">
        <v>421</v>
      </c>
      <c r="B66" s="5" t="s">
        <v>414</v>
      </c>
      <c r="C66" s="5" t="s">
        <v>415</v>
      </c>
      <c r="D66" s="5" t="s">
        <v>422</v>
      </c>
      <c r="E66" s="5" t="s">
        <v>423</v>
      </c>
      <c r="F66" s="5" t="s">
        <v>424</v>
      </c>
      <c r="G66" s="5" t="s">
        <v>425</v>
      </c>
      <c r="H66" s="5" t="s">
        <v>7</v>
      </c>
      <c r="I66" s="5"/>
      <c r="J66" s="5" t="s">
        <v>5</v>
      </c>
      <c r="K66" s="5" t="s">
        <v>18</v>
      </c>
    </row>
    <row r="67" customFormat="false" ht="15" hidden="false" customHeight="false" outlineLevel="0" collapsed="false">
      <c r="A67" s="5" t="s">
        <v>426</v>
      </c>
      <c r="B67" s="5" t="s">
        <v>414</v>
      </c>
      <c r="C67" s="5" t="s">
        <v>427</v>
      </c>
      <c r="D67" s="5" t="s">
        <v>428</v>
      </c>
      <c r="E67" s="5" t="s">
        <v>429</v>
      </c>
      <c r="F67" s="5"/>
      <c r="G67" s="5" t="s">
        <v>430</v>
      </c>
      <c r="H67" s="5" t="s">
        <v>7</v>
      </c>
      <c r="I67" s="5"/>
      <c r="J67" s="5" t="s">
        <v>5</v>
      </c>
      <c r="K67" s="5" t="s">
        <v>18</v>
      </c>
    </row>
    <row r="68" customFormat="false" ht="32.8" hidden="false" customHeight="false" outlineLevel="0" collapsed="false">
      <c r="A68" s="5" t="s">
        <v>431</v>
      </c>
      <c r="B68" s="5" t="s">
        <v>432</v>
      </c>
      <c r="C68" s="5" t="s">
        <v>433</v>
      </c>
      <c r="D68" s="5" t="s">
        <v>434</v>
      </c>
      <c r="E68" s="5" t="s">
        <v>435</v>
      </c>
      <c r="F68" s="5" t="s">
        <v>436</v>
      </c>
      <c r="G68" s="5" t="s">
        <v>437</v>
      </c>
      <c r="H68" s="5" t="s">
        <v>6</v>
      </c>
      <c r="I68" s="5" t="s">
        <v>438</v>
      </c>
      <c r="J68" s="5" t="s">
        <v>4</v>
      </c>
      <c r="K68" s="5" t="s">
        <v>18</v>
      </c>
    </row>
    <row r="69" customFormat="false" ht="15" hidden="false" customHeight="false" outlineLevel="0" collapsed="false">
      <c r="A69" s="5" t="s">
        <v>439</v>
      </c>
      <c r="B69" s="5" t="s">
        <v>432</v>
      </c>
      <c r="C69" s="5" t="s">
        <v>2</v>
      </c>
      <c r="D69" s="5" t="s">
        <v>440</v>
      </c>
      <c r="E69" s="5" t="s">
        <v>441</v>
      </c>
      <c r="F69" s="5"/>
      <c r="G69" s="5" t="s">
        <v>442</v>
      </c>
      <c r="H69" s="5" t="s">
        <v>6</v>
      </c>
      <c r="I69" s="5" t="s">
        <v>443</v>
      </c>
      <c r="J69" s="5" t="s">
        <v>5</v>
      </c>
      <c r="K69" s="5" t="s">
        <v>18</v>
      </c>
    </row>
    <row r="70" customFormat="false" ht="15" hidden="false" customHeight="false" outlineLevel="0" collapsed="false">
      <c r="A70" s="5" t="s">
        <v>444</v>
      </c>
      <c r="B70" s="5" t="s">
        <v>445</v>
      </c>
      <c r="C70" s="5" t="s">
        <v>2</v>
      </c>
      <c r="D70" s="5" t="s">
        <v>446</v>
      </c>
      <c r="E70" s="5" t="s">
        <v>447</v>
      </c>
      <c r="F70" s="5" t="s">
        <v>448</v>
      </c>
      <c r="G70" s="5" t="s">
        <v>449</v>
      </c>
      <c r="H70" s="5" t="s">
        <v>11</v>
      </c>
      <c r="I70" s="5"/>
      <c r="J70" s="5" t="s">
        <v>5</v>
      </c>
      <c r="K70" s="5" t="s">
        <v>16</v>
      </c>
    </row>
    <row r="71" customFormat="false" ht="22.35" hidden="false" customHeight="false" outlineLevel="0" collapsed="false">
      <c r="A71" s="5" t="s">
        <v>450</v>
      </c>
      <c r="B71" s="5" t="s">
        <v>51</v>
      </c>
      <c r="C71" s="5" t="s">
        <v>319</v>
      </c>
      <c r="D71" s="5" t="s">
        <v>451</v>
      </c>
      <c r="E71" s="5" t="s">
        <v>452</v>
      </c>
      <c r="F71" s="5" t="s">
        <v>453</v>
      </c>
      <c r="G71" s="5" t="s">
        <v>454</v>
      </c>
      <c r="H71" s="5" t="s">
        <v>7</v>
      </c>
      <c r="I71" s="5"/>
      <c r="J71" s="5" t="s">
        <v>3</v>
      </c>
      <c r="K71" s="5" t="s">
        <v>18</v>
      </c>
    </row>
    <row r="72" customFormat="false" ht="32.8" hidden="false" customHeight="false" outlineLevel="0" collapsed="false">
      <c r="A72" s="5" t="s">
        <v>455</v>
      </c>
      <c r="B72" s="5" t="s">
        <v>432</v>
      </c>
      <c r="C72" s="5" t="s">
        <v>319</v>
      </c>
      <c r="D72" s="5" t="s">
        <v>456</v>
      </c>
      <c r="E72" s="5" t="s">
        <v>457</v>
      </c>
      <c r="F72" s="5" t="s">
        <v>458</v>
      </c>
      <c r="G72" s="5" t="s">
        <v>459</v>
      </c>
      <c r="H72" s="5" t="s">
        <v>11</v>
      </c>
      <c r="I72" s="5" t="s">
        <v>460</v>
      </c>
      <c r="J72" s="5" t="s">
        <v>4</v>
      </c>
      <c r="K72" s="5" t="s">
        <v>16</v>
      </c>
    </row>
    <row r="73" customFormat="false" ht="22.35" hidden="false" customHeight="false" outlineLevel="0" collapsed="false">
      <c r="A73" s="5" t="s">
        <v>461</v>
      </c>
      <c r="B73" s="5" t="s">
        <v>432</v>
      </c>
      <c r="C73" s="5" t="s">
        <v>256</v>
      </c>
      <c r="D73" s="5" t="s">
        <v>462</v>
      </c>
      <c r="E73" s="5" t="s">
        <v>463</v>
      </c>
      <c r="F73" s="5" t="s">
        <v>464</v>
      </c>
      <c r="G73" s="5" t="s">
        <v>465</v>
      </c>
      <c r="H73" s="5" t="s">
        <v>8</v>
      </c>
      <c r="I73" s="5" t="s">
        <v>466</v>
      </c>
      <c r="J73" s="5" t="s">
        <v>4</v>
      </c>
      <c r="K73" s="5" t="s">
        <v>16</v>
      </c>
    </row>
    <row r="74" customFormat="false" ht="22.35" hidden="false" customHeight="false" outlineLevel="0" collapsed="false">
      <c r="A74" s="5" t="s">
        <v>467</v>
      </c>
      <c r="B74" s="5" t="s">
        <v>432</v>
      </c>
      <c r="C74" s="5" t="s">
        <v>319</v>
      </c>
      <c r="D74" s="5" t="s">
        <v>468</v>
      </c>
      <c r="E74" s="5" t="s">
        <v>469</v>
      </c>
      <c r="F74" s="5" t="s">
        <v>470</v>
      </c>
      <c r="G74" s="5" t="s">
        <v>471</v>
      </c>
      <c r="H74" s="5" t="s">
        <v>8</v>
      </c>
      <c r="I74" s="5" t="s">
        <v>472</v>
      </c>
      <c r="J74" s="5" t="s">
        <v>4</v>
      </c>
      <c r="K74" s="5" t="s">
        <v>16</v>
      </c>
    </row>
    <row r="75" customFormat="false" ht="15" hidden="false" customHeight="false" outlineLevel="0" collapsed="false">
      <c r="A75" s="5" t="s">
        <v>473</v>
      </c>
      <c r="B75" s="5" t="s">
        <v>432</v>
      </c>
      <c r="C75" s="5" t="s">
        <v>319</v>
      </c>
      <c r="D75" s="5" t="s">
        <v>474</v>
      </c>
      <c r="E75" s="5" t="s">
        <v>475</v>
      </c>
      <c r="F75" s="5" t="s">
        <v>476</v>
      </c>
      <c r="G75" s="5" t="s">
        <v>477</v>
      </c>
      <c r="H75" s="5" t="s">
        <v>8</v>
      </c>
      <c r="I75" s="5" t="s">
        <v>478</v>
      </c>
      <c r="J75" s="5" t="s">
        <v>5</v>
      </c>
      <c r="K75" s="5" t="s">
        <v>16</v>
      </c>
    </row>
    <row r="76" customFormat="false" ht="22.35" hidden="false" customHeight="false" outlineLevel="0" collapsed="false">
      <c r="A76" s="5" t="s">
        <v>479</v>
      </c>
      <c r="B76" s="5" t="s">
        <v>432</v>
      </c>
      <c r="C76" s="5" t="s">
        <v>480</v>
      </c>
      <c r="D76" s="5" t="s">
        <v>481</v>
      </c>
      <c r="E76" s="5" t="s">
        <v>482</v>
      </c>
      <c r="F76" s="5" t="s">
        <v>483</v>
      </c>
      <c r="G76" s="5" t="s">
        <v>484</v>
      </c>
      <c r="H76" s="5" t="s">
        <v>8</v>
      </c>
      <c r="I76" s="5" t="s">
        <v>485</v>
      </c>
      <c r="J76" s="5" t="s">
        <v>5</v>
      </c>
      <c r="K76" s="5" t="s">
        <v>16</v>
      </c>
    </row>
    <row r="77" customFormat="false" ht="22.35" hidden="false" customHeight="false" outlineLevel="0" collapsed="false">
      <c r="A77" s="5" t="s">
        <v>486</v>
      </c>
      <c r="B77" s="5" t="s">
        <v>84</v>
      </c>
      <c r="C77" s="5" t="s">
        <v>480</v>
      </c>
      <c r="D77" s="5" t="s">
        <v>487</v>
      </c>
      <c r="E77" s="5" t="s">
        <v>488</v>
      </c>
      <c r="F77" s="5" t="s">
        <v>489</v>
      </c>
      <c r="G77" s="5" t="s">
        <v>490</v>
      </c>
      <c r="H77" s="5" t="s">
        <v>8</v>
      </c>
      <c r="I77" s="5" t="s">
        <v>491</v>
      </c>
      <c r="J77" s="5" t="s">
        <v>5</v>
      </c>
      <c r="K77" s="5" t="s">
        <v>16</v>
      </c>
    </row>
    <row r="78" customFormat="false" ht="43.25" hidden="false" customHeight="false" outlineLevel="0" collapsed="false">
      <c r="A78" s="5" t="s">
        <v>492</v>
      </c>
      <c r="B78" s="5" t="s">
        <v>202</v>
      </c>
      <c r="C78" s="5" t="s">
        <v>210</v>
      </c>
      <c r="D78" s="5" t="s">
        <v>493</v>
      </c>
      <c r="E78" s="5" t="s">
        <v>494</v>
      </c>
      <c r="F78" s="5" t="s">
        <v>495</v>
      </c>
      <c r="G78" s="5" t="s">
        <v>496</v>
      </c>
      <c r="H78" s="5" t="s">
        <v>6</v>
      </c>
      <c r="I78" s="5" t="s">
        <v>497</v>
      </c>
      <c r="J78" s="5" t="s">
        <v>3</v>
      </c>
      <c r="K78" s="5" t="s">
        <v>18</v>
      </c>
    </row>
    <row r="79" customFormat="false" ht="22.35" hidden="false" customHeight="false" outlineLevel="0" collapsed="false">
      <c r="A79" s="5" t="s">
        <v>498</v>
      </c>
      <c r="B79" s="5" t="s">
        <v>202</v>
      </c>
      <c r="C79" s="5" t="s">
        <v>210</v>
      </c>
      <c r="D79" s="5" t="s">
        <v>499</v>
      </c>
      <c r="E79" s="5" t="s">
        <v>500</v>
      </c>
      <c r="F79" s="5" t="s">
        <v>501</v>
      </c>
      <c r="G79" s="5" t="s">
        <v>502</v>
      </c>
      <c r="H79" s="5" t="s">
        <v>9</v>
      </c>
      <c r="I79" s="5" t="s">
        <v>503</v>
      </c>
      <c r="J79" s="5" t="s">
        <v>5</v>
      </c>
      <c r="K79" s="5" t="s">
        <v>17</v>
      </c>
    </row>
    <row r="80" customFormat="false" ht="22.35" hidden="false" customHeight="false" outlineLevel="0" collapsed="false">
      <c r="A80" s="5" t="s">
        <v>504</v>
      </c>
      <c r="B80" s="5" t="s">
        <v>202</v>
      </c>
      <c r="C80" s="5" t="s">
        <v>210</v>
      </c>
      <c r="D80" s="5" t="s">
        <v>505</v>
      </c>
      <c r="E80" s="5" t="s">
        <v>506</v>
      </c>
      <c r="F80" s="5" t="s">
        <v>507</v>
      </c>
      <c r="G80" s="5" t="s">
        <v>508</v>
      </c>
      <c r="H80" s="5" t="s">
        <v>8</v>
      </c>
      <c r="I80" s="5" t="s">
        <v>509</v>
      </c>
      <c r="J80" s="5" t="s">
        <v>4</v>
      </c>
      <c r="K80" s="5" t="s">
        <v>16</v>
      </c>
    </row>
    <row r="81" customFormat="false" ht="32.8" hidden="false" customHeight="false" outlineLevel="0" collapsed="false">
      <c r="A81" s="5" t="s">
        <v>510</v>
      </c>
      <c r="B81" s="5" t="s">
        <v>51</v>
      </c>
      <c r="C81" s="5" t="s">
        <v>511</v>
      </c>
      <c r="D81" s="5" t="s">
        <v>512</v>
      </c>
      <c r="E81" s="5" t="s">
        <v>513</v>
      </c>
      <c r="F81" s="5" t="s">
        <v>514</v>
      </c>
      <c r="G81" s="5" t="s">
        <v>515</v>
      </c>
      <c r="H81" s="5" t="s">
        <v>8</v>
      </c>
      <c r="I81" s="5" t="s">
        <v>516</v>
      </c>
      <c r="J81" s="5" t="s">
        <v>3</v>
      </c>
      <c r="K81" s="5" t="s">
        <v>16</v>
      </c>
    </row>
    <row r="82" customFormat="false" ht="22.35" hidden="false" customHeight="false" outlineLevel="0" collapsed="false">
      <c r="A82" s="5" t="s">
        <v>517</v>
      </c>
      <c r="B82" s="5" t="s">
        <v>414</v>
      </c>
      <c r="C82" s="5" t="s">
        <v>518</v>
      </c>
      <c r="D82" s="5" t="s">
        <v>519</v>
      </c>
      <c r="E82" s="5" t="s">
        <v>520</v>
      </c>
      <c r="F82" s="5" t="s">
        <v>521</v>
      </c>
      <c r="G82" s="5" t="s">
        <v>522</v>
      </c>
      <c r="H82" s="5" t="s">
        <v>7</v>
      </c>
      <c r="I82" s="5"/>
      <c r="J82" s="5" t="s">
        <v>5</v>
      </c>
      <c r="K82" s="5" t="s">
        <v>18</v>
      </c>
    </row>
    <row r="83" customFormat="false" ht="22.35" hidden="false" customHeight="false" outlineLevel="0" collapsed="false">
      <c r="A83" s="5" t="s">
        <v>523</v>
      </c>
      <c r="B83" s="5" t="s">
        <v>202</v>
      </c>
      <c r="C83" s="5" t="s">
        <v>210</v>
      </c>
      <c r="D83" s="5" t="s">
        <v>524</v>
      </c>
      <c r="E83" s="5" t="s">
        <v>525</v>
      </c>
      <c r="F83" s="5" t="s">
        <v>526</v>
      </c>
      <c r="G83" s="5" t="s">
        <v>527</v>
      </c>
      <c r="H83" s="5" t="s">
        <v>7</v>
      </c>
      <c r="I83" s="5"/>
      <c r="J83" s="5" t="s">
        <v>4</v>
      </c>
      <c r="K83" s="5" t="s">
        <v>18</v>
      </c>
    </row>
    <row r="84" customFormat="false" ht="22.35" hidden="false" customHeight="false" outlineLevel="0" collapsed="false">
      <c r="A84" s="5" t="s">
        <v>528</v>
      </c>
      <c r="B84" s="5" t="s">
        <v>294</v>
      </c>
      <c r="C84" s="5" t="s">
        <v>295</v>
      </c>
      <c r="D84" s="5" t="s">
        <v>529</v>
      </c>
      <c r="E84" s="5" t="s">
        <v>530</v>
      </c>
      <c r="F84" s="5" t="s">
        <v>531</v>
      </c>
      <c r="G84" s="5" t="s">
        <v>532</v>
      </c>
      <c r="H84" s="5" t="s">
        <v>8</v>
      </c>
      <c r="I84" s="5" t="s">
        <v>533</v>
      </c>
      <c r="J84" s="5" t="s">
        <v>4</v>
      </c>
      <c r="K84" s="5" t="s">
        <v>16</v>
      </c>
    </row>
    <row r="85" customFormat="false" ht="32.8" hidden="false" customHeight="false" outlineLevel="0" collapsed="false">
      <c r="A85" s="5" t="s">
        <v>534</v>
      </c>
      <c r="B85" s="5" t="s">
        <v>30</v>
      </c>
      <c r="C85" s="5" t="s">
        <v>535</v>
      </c>
      <c r="D85" s="5" t="s">
        <v>536</v>
      </c>
      <c r="E85" s="5" t="s">
        <v>537</v>
      </c>
      <c r="F85" s="5" t="s">
        <v>538</v>
      </c>
      <c r="G85" s="5" t="s">
        <v>539</v>
      </c>
      <c r="H85" s="5" t="s">
        <v>7</v>
      </c>
      <c r="I85" s="5" t="s">
        <v>540</v>
      </c>
      <c r="J85" s="5" t="s">
        <v>4</v>
      </c>
      <c r="K85" s="5" t="s">
        <v>16</v>
      </c>
    </row>
    <row r="86" customFormat="false" ht="32.8" hidden="false" customHeight="false" outlineLevel="0" collapsed="false">
      <c r="A86" s="5" t="s">
        <v>541</v>
      </c>
      <c r="B86" s="5" t="s">
        <v>51</v>
      </c>
      <c r="C86" s="5" t="s">
        <v>319</v>
      </c>
      <c r="D86" s="5" t="s">
        <v>542</v>
      </c>
      <c r="E86" s="5" t="s">
        <v>543</v>
      </c>
      <c r="F86" s="5" t="s">
        <v>544</v>
      </c>
      <c r="G86" s="5" t="s">
        <v>545</v>
      </c>
      <c r="H86" s="5" t="s">
        <v>9</v>
      </c>
      <c r="I86" s="5" t="s">
        <v>546</v>
      </c>
      <c r="J86" s="5" t="s">
        <v>4</v>
      </c>
      <c r="K86" s="5" t="s">
        <v>17</v>
      </c>
    </row>
    <row r="87" customFormat="false" ht="22.35" hidden="false" customHeight="false" outlineLevel="0" collapsed="false">
      <c r="A87" s="5" t="s">
        <v>547</v>
      </c>
      <c r="B87" s="5" t="s">
        <v>51</v>
      </c>
      <c r="C87" s="5" t="s">
        <v>319</v>
      </c>
      <c r="D87" s="5" t="s">
        <v>548</v>
      </c>
      <c r="E87" s="5" t="s">
        <v>549</v>
      </c>
      <c r="F87" s="5" t="s">
        <v>550</v>
      </c>
      <c r="G87" s="5" t="s">
        <v>551</v>
      </c>
      <c r="H87" s="5" t="s">
        <v>7</v>
      </c>
      <c r="I87" s="5"/>
      <c r="J87" s="5" t="s">
        <v>4</v>
      </c>
      <c r="K87" s="5" t="s">
        <v>18</v>
      </c>
    </row>
    <row r="88" customFormat="false" ht="22.35" hidden="false" customHeight="false" outlineLevel="0" collapsed="false">
      <c r="A88" s="5" t="s">
        <v>552</v>
      </c>
      <c r="B88" s="5" t="s">
        <v>357</v>
      </c>
      <c r="C88" s="5" t="s">
        <v>358</v>
      </c>
      <c r="D88" s="5" t="s">
        <v>553</v>
      </c>
      <c r="E88" s="5" t="s">
        <v>554</v>
      </c>
      <c r="F88" s="5" t="s">
        <v>555</v>
      </c>
      <c r="G88" s="5" t="s">
        <v>556</v>
      </c>
      <c r="H88" s="5" t="s">
        <v>7</v>
      </c>
      <c r="I88" s="5"/>
      <c r="J88" s="5" t="s">
        <v>4</v>
      </c>
      <c r="K88" s="5" t="s">
        <v>18</v>
      </c>
    </row>
    <row r="89" customFormat="false" ht="22.35" hidden="false" customHeight="false" outlineLevel="0" collapsed="false">
      <c r="A89" s="5" t="s">
        <v>557</v>
      </c>
      <c r="B89" s="5" t="s">
        <v>414</v>
      </c>
      <c r="C89" s="5" t="s">
        <v>558</v>
      </c>
      <c r="D89" s="5" t="s">
        <v>559</v>
      </c>
      <c r="E89" s="5" t="s">
        <v>560</v>
      </c>
      <c r="F89" s="5" t="s">
        <v>561</v>
      </c>
      <c r="G89" s="5" t="s">
        <v>562</v>
      </c>
      <c r="H89" s="5" t="s">
        <v>7</v>
      </c>
      <c r="I89" s="5"/>
      <c r="J89" s="5" t="s">
        <v>5</v>
      </c>
      <c r="K89" s="5" t="s">
        <v>18</v>
      </c>
    </row>
    <row r="90" customFormat="false" ht="32.8" hidden="false" customHeight="false" outlineLevel="0" collapsed="false">
      <c r="A90" s="5" t="s">
        <v>563</v>
      </c>
      <c r="B90" s="5" t="s">
        <v>202</v>
      </c>
      <c r="C90" s="5" t="s">
        <v>564</v>
      </c>
      <c r="D90" s="5" t="s">
        <v>565</v>
      </c>
      <c r="E90" s="5" t="s">
        <v>566</v>
      </c>
      <c r="F90" s="5" t="s">
        <v>567</v>
      </c>
      <c r="G90" s="5" t="s">
        <v>568</v>
      </c>
      <c r="H90" s="5" t="s">
        <v>8</v>
      </c>
      <c r="I90" s="5" t="s">
        <v>569</v>
      </c>
      <c r="J90" s="5" t="s">
        <v>3</v>
      </c>
      <c r="K90" s="5" t="s">
        <v>16</v>
      </c>
    </row>
    <row r="91" customFormat="false" ht="22.35" hidden="false" customHeight="false" outlineLevel="0" collapsed="false">
      <c r="A91" s="5" t="s">
        <v>570</v>
      </c>
      <c r="B91" s="5" t="s">
        <v>142</v>
      </c>
      <c r="C91" s="5" t="s">
        <v>571</v>
      </c>
      <c r="D91" s="5" t="s">
        <v>572</v>
      </c>
      <c r="E91" s="5" t="s">
        <v>573</v>
      </c>
      <c r="F91" s="5" t="s">
        <v>574</v>
      </c>
      <c r="G91" s="5" t="s">
        <v>575</v>
      </c>
      <c r="H91" s="5" t="s">
        <v>8</v>
      </c>
      <c r="I91" s="5" t="s">
        <v>576</v>
      </c>
      <c r="J91" s="5" t="s">
        <v>5</v>
      </c>
      <c r="K91" s="5" t="s">
        <v>16</v>
      </c>
    </row>
    <row r="92" customFormat="false" ht="32.8" hidden="false" customHeight="false" outlineLevel="0" collapsed="false">
      <c r="A92" s="5" t="s">
        <v>577</v>
      </c>
      <c r="B92" s="5" t="s">
        <v>142</v>
      </c>
      <c r="C92" s="5" t="s">
        <v>578</v>
      </c>
      <c r="D92" s="5" t="s">
        <v>579</v>
      </c>
      <c r="E92" s="5" t="s">
        <v>580</v>
      </c>
      <c r="F92" s="5" t="s">
        <v>581</v>
      </c>
      <c r="G92" s="5" t="s">
        <v>582</v>
      </c>
      <c r="H92" s="5" t="s">
        <v>7</v>
      </c>
      <c r="I92" s="5"/>
      <c r="J92" s="5" t="s">
        <v>3</v>
      </c>
      <c r="K92" s="5" t="s">
        <v>18</v>
      </c>
    </row>
    <row r="93" customFormat="false" ht="32.8" hidden="false" customHeight="false" outlineLevel="0" collapsed="false">
      <c r="A93" s="5" t="s">
        <v>583</v>
      </c>
      <c r="B93" s="5" t="s">
        <v>414</v>
      </c>
      <c r="C93" s="5" t="s">
        <v>584</v>
      </c>
      <c r="D93" s="5" t="s">
        <v>585</v>
      </c>
      <c r="E93" s="5" t="s">
        <v>586</v>
      </c>
      <c r="F93" s="5" t="s">
        <v>587</v>
      </c>
      <c r="G93" s="5" t="s">
        <v>588</v>
      </c>
      <c r="H93" s="5" t="s">
        <v>8</v>
      </c>
      <c r="I93" s="5" t="s">
        <v>589</v>
      </c>
      <c r="J93" s="5" t="s">
        <v>4</v>
      </c>
      <c r="K93" s="5" t="s">
        <v>16</v>
      </c>
    </row>
    <row r="94" customFormat="false" ht="22.35" hidden="false" customHeight="false" outlineLevel="0" collapsed="false">
      <c r="A94" s="5" t="s">
        <v>590</v>
      </c>
      <c r="B94" s="5" t="s">
        <v>256</v>
      </c>
      <c r="C94" s="5" t="s">
        <v>270</v>
      </c>
      <c r="D94" s="5" t="s">
        <v>591</v>
      </c>
      <c r="E94" s="5" t="s">
        <v>592</v>
      </c>
      <c r="F94" s="5" t="s">
        <v>593</v>
      </c>
      <c r="G94" s="5" t="s">
        <v>594</v>
      </c>
      <c r="H94" s="5" t="s">
        <v>7</v>
      </c>
      <c r="I94" s="5"/>
      <c r="J94" s="5" t="s">
        <v>4</v>
      </c>
      <c r="K94" s="5" t="s">
        <v>18</v>
      </c>
    </row>
  </sheetData>
  <autoFilter ref="A1:K94"/>
  <conditionalFormatting sqref="H2:H94">
    <cfRule type="expression" priority="2" aboveAverage="0" equalAverage="0" bottom="0" percent="0" rank="0" text="" dxfId="10">
      <formula>$H2="Resolved (business confirmed)"</formula>
    </cfRule>
    <cfRule type="expression" priority="3" aboveAverage="0" equalAverage="0" bottom="0" percent="0" rank="0" text="" dxfId="11">
      <formula>$H2="Handled in model"</formula>
    </cfRule>
    <cfRule type="expression" priority="4" aboveAverage="0" equalAverage="0" bottom="0" percent="0" rank="0" text="" dxfId="12">
      <formula>$H2="Open - business"</formula>
    </cfRule>
    <cfRule type="expression" priority="5" aboveAverage="0" equalAverage="0" bottom="0" percent="0" rank="0" text="" dxfId="13">
      <formula>$H2="Open - ERP team"</formula>
    </cfRule>
    <cfRule type="expression" priority="6" aboveAverage="0" equalAverage="0" bottom="0" percent="0" rank="0" text="" dxfId="14">
      <formula>$H2="Open - verify with full data"</formula>
    </cfRule>
    <cfRule type="expression" priority="7" aboveAverage="0" equalAverage="0" bottom="0" percent="0" rank="0" text="" dxfId="15">
      <formula>$H2="Assumed - please confirm"</formula>
    </cfRule>
  </conditionalFormatting>
  <conditionalFormatting sqref="J2:J94">
    <cfRule type="expression" priority="8" aboveAverage="0" equalAverage="0" bottom="0" percent="0" rank="0" text="" dxfId="16">
      <formula>$J2="High"</formula>
    </cfRule>
  </conditionalFormatting>
  <dataValidations count="2">
    <dataValidation allowBlank="false" errorStyle="stop" operator="between" showDropDown="false" showErrorMessage="false" showInputMessage="false" sqref="H2:H94" type="list">
      <formula1>"Resolved (business confirmed),Handled in model,Open - business,Open - ERP team,Open - verify with full data,Assumed - please confirm"</formula1>
      <formula2>0</formula2>
    </dataValidation>
    <dataValidation allowBlank="false" errorStyle="stop" operator="between" showDropDown="false" showErrorMessage="false" showInputMessage="false" sqref="J2:J94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6" t="s">
        <v>1</v>
      </c>
      <c r="B1" s="6" t="s">
        <v>595</v>
      </c>
    </row>
    <row r="2" customFormat="false" ht="15" hidden="false" customHeight="false" outlineLevel="0" collapsed="false">
      <c r="A2" s="7" t="s">
        <v>6</v>
      </c>
      <c r="B2" s="7" t="s">
        <v>596</v>
      </c>
    </row>
    <row r="3" customFormat="false" ht="15" hidden="false" customHeight="false" outlineLevel="0" collapsed="false">
      <c r="A3" s="7" t="s">
        <v>7</v>
      </c>
      <c r="B3" s="7" t="s">
        <v>597</v>
      </c>
    </row>
    <row r="4" customFormat="false" ht="15" hidden="false" customHeight="false" outlineLevel="0" collapsed="false">
      <c r="A4" s="7" t="s">
        <v>8</v>
      </c>
      <c r="B4" s="7" t="s">
        <v>598</v>
      </c>
    </row>
    <row r="5" customFormat="false" ht="15" hidden="false" customHeight="false" outlineLevel="0" collapsed="false">
      <c r="A5" s="7" t="s">
        <v>9</v>
      </c>
      <c r="B5" s="7" t="s">
        <v>599</v>
      </c>
    </row>
    <row r="6" customFormat="false" ht="15" hidden="false" customHeight="false" outlineLevel="0" collapsed="false">
      <c r="A6" s="7" t="s">
        <v>10</v>
      </c>
      <c r="B6" s="7" t="s">
        <v>600</v>
      </c>
    </row>
    <row r="7" customFormat="false" ht="15" hidden="false" customHeight="false" outlineLevel="0" collapsed="false">
      <c r="A7" s="7" t="s">
        <v>11</v>
      </c>
      <c r="B7" s="7" t="s">
        <v>601</v>
      </c>
    </row>
    <row r="8" customFormat="false" ht="15" hidden="false" customHeight="false" outlineLevel="0" collapsed="false">
      <c r="A8" s="7"/>
      <c r="B8" s="7"/>
    </row>
    <row r="9" customFormat="false" ht="23.85" hidden="false" customHeight="false" outlineLevel="0" collapsed="false">
      <c r="A9" s="7" t="s">
        <v>602</v>
      </c>
      <c r="B9" s="7" t="s">
        <v>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2026-10-03T04:41:51Z</dcterms:created>
  <dc:creator>openpyxl</dc:creator>
  <dc:description/>
  <dc:language>en-US</dc:language>
  <cp:lastModifiedBy/>
  <dcterms:modified xsi:type="dcterms:W3CDTF">2026-10-03T04:41:51Z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