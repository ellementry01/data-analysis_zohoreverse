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Issue Log" sheetId="2" state="visible" r:id="rId2"/>
    <sheet name="Legend" sheetId="3" state="visible" r:id="rId3"/>
  </sheets>
  <definedNames>
    <definedName name="_xlnm._FilterDatabase" localSheetId="1" hidden="1">'Issue Log'!$A$1:$K$122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</fonts>
  <fills count="3">
    <fill>
      <patternFill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DEDED"/>
        </patternFill>
      </fill>
    </dxf>
    <dxf>
      <fill>
        <patternFill>
          <bgColor rgb="FFF8CBAD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Data team</author>
  </authors>
  <commentList>
    <comment ref="A5" authorId="0" shapeId="0">
      <text>
        <t>Superseded by D-095: the ERP can produce the stock report for any past date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8" min="1" max="1"/>
    <col width="11" customWidth="1" style="8" min="2" max="5"/>
  </cols>
  <sheetData>
    <row r="1" ht="15" customHeight="1" s="9">
      <c r="A1" s="10" t="inlineStr">
        <is>
          <t>Issue log summary (updates automatically when Status / Priority are changed)</t>
        </is>
      </c>
    </row>
    <row r="2"/>
    <row r="3" ht="15" customHeight="1" s="9">
      <c r="A3" s="11" t="inlineStr">
        <is>
          <t>Status</t>
        </is>
      </c>
      <c r="B3" s="11" t="inlineStr">
        <is>
          <t>All</t>
        </is>
      </c>
      <c r="C3" s="11" t="inlineStr">
        <is>
          <t>High</t>
        </is>
      </c>
      <c r="D3" s="11" t="inlineStr">
        <is>
          <t>Medium</t>
        </is>
      </c>
      <c r="E3" s="11" t="inlineStr">
        <is>
          <t>Low</t>
        </is>
      </c>
    </row>
    <row r="4" ht="15" customHeight="1" s="9">
      <c r="A4" s="12" t="inlineStr">
        <is>
          <t>Resolved (business confirmed)</t>
        </is>
      </c>
      <c r="B4" s="12">
        <f>COUNTIF('Issue Log'!$H$2:$H$122,A4)</f>
        <v/>
      </c>
      <c r="C4" s="12">
        <f>COUNTIFS('Issue Log'!$H$2:$H$122,A4,'Issue Log'!$J$2:$J$122,"High")</f>
        <v/>
      </c>
      <c r="D4" s="12">
        <f>COUNTIFS('Issue Log'!$H$2:$H$122,A4,'Issue Log'!$J$2:$J$122,"Medium")</f>
        <v/>
      </c>
      <c r="E4" s="12">
        <f>COUNTIFS('Issue Log'!$H$2:$H$122,A4,'Issue Log'!$J$2:$J$122,"Low")</f>
        <v/>
      </c>
    </row>
    <row r="5" ht="15" customHeight="1" s="9">
      <c r="A5" s="12" t="inlineStr">
        <is>
          <t>Handled in model</t>
        </is>
      </c>
      <c r="B5" s="12">
        <f>COUNTIF('Issue Log'!$H$2:$H$122,A5)</f>
        <v/>
      </c>
      <c r="C5" s="12">
        <f>COUNTIFS('Issue Log'!$H$2:$H$122,A5,'Issue Log'!$J$2:$J$122,"High")</f>
        <v/>
      </c>
      <c r="D5" s="12">
        <f>COUNTIFS('Issue Log'!$H$2:$H$122,A5,'Issue Log'!$J$2:$J$122,"Medium")</f>
        <v/>
      </c>
      <c r="E5" s="12">
        <f>COUNTIFS('Issue Log'!$H$2:$H$122,A5,'Issue Log'!$J$2:$J$122,"Low")</f>
        <v/>
      </c>
    </row>
    <row r="6" ht="15" customHeight="1" s="9">
      <c r="A6" s="12" t="inlineStr">
        <is>
          <t>Open - business</t>
        </is>
      </c>
      <c r="B6" s="12">
        <f>COUNTIF('Issue Log'!$H$2:$H$122,A6)</f>
        <v/>
      </c>
      <c r="C6" s="12">
        <f>COUNTIFS('Issue Log'!$H$2:$H$122,A6,'Issue Log'!$J$2:$J$122,"High")</f>
        <v/>
      </c>
      <c r="D6" s="12">
        <f>COUNTIFS('Issue Log'!$H$2:$H$122,A6,'Issue Log'!$J$2:$J$122,"Medium")</f>
        <v/>
      </c>
      <c r="E6" s="12">
        <f>COUNTIFS('Issue Log'!$H$2:$H$122,A6,'Issue Log'!$J$2:$J$122,"Low")</f>
        <v/>
      </c>
    </row>
    <row r="7" ht="15" customHeight="1" s="9">
      <c r="A7" s="12" t="inlineStr">
        <is>
          <t>Open - ERP team</t>
        </is>
      </c>
      <c r="B7" s="12">
        <f>COUNTIF('Issue Log'!$H$2:$H$122,A7)</f>
        <v/>
      </c>
      <c r="C7" s="12">
        <f>COUNTIFS('Issue Log'!$H$2:$H$122,A7,'Issue Log'!$J$2:$J$122,"High")</f>
        <v/>
      </c>
      <c r="D7" s="12">
        <f>COUNTIFS('Issue Log'!$H$2:$H$122,A7,'Issue Log'!$J$2:$J$122,"Medium")</f>
        <v/>
      </c>
      <c r="E7" s="12">
        <f>COUNTIFS('Issue Log'!$H$2:$H$122,A7,'Issue Log'!$J$2:$J$122,"Low")</f>
        <v/>
      </c>
    </row>
    <row r="8" ht="15" customHeight="1" s="9">
      <c r="A8" s="12" t="inlineStr">
        <is>
          <t>Open - verify with full data</t>
        </is>
      </c>
      <c r="B8" s="12">
        <f>COUNTIF('Issue Log'!$H$2:$H$122,A8)</f>
        <v/>
      </c>
      <c r="C8" s="12">
        <f>COUNTIFS('Issue Log'!$H$2:$H$122,A8,'Issue Log'!$J$2:$J$122,"High")</f>
        <v/>
      </c>
      <c r="D8" s="12">
        <f>COUNTIFS('Issue Log'!$H$2:$H$122,A8,'Issue Log'!$J$2:$J$122,"Medium")</f>
        <v/>
      </c>
      <c r="E8" s="12">
        <f>COUNTIFS('Issue Log'!$H$2:$H$122,A8,'Issue Log'!$J$2:$J$122,"Low")</f>
        <v/>
      </c>
    </row>
    <row r="9" ht="15" customHeight="1" s="9">
      <c r="A9" s="12" t="inlineStr">
        <is>
          <t>Assumed - please confirm</t>
        </is>
      </c>
      <c r="B9" s="12">
        <f>COUNTIF('Issue Log'!$H$2:$H$122,A9)</f>
        <v/>
      </c>
      <c r="C9" s="12">
        <f>COUNTIFS('Issue Log'!$H$2:$H$122,A9,'Issue Log'!$J$2:$J$122,"High")</f>
        <v/>
      </c>
      <c r="D9" s="12">
        <f>COUNTIFS('Issue Log'!$H$2:$H$122,A9,'Issue Log'!$J$2:$J$122,"Medium")</f>
        <v/>
      </c>
      <c r="E9" s="12">
        <f>COUNTIFS('Issue Log'!$H$2:$H$122,A9,'Issue Log'!$J$2:$J$122,"Low")</f>
        <v/>
      </c>
    </row>
    <row r="10" ht="15" customHeight="1" s="9">
      <c r="A10" s="11" t="inlineStr">
        <is>
          <t>Total</t>
        </is>
      </c>
      <c r="B10" s="11">
        <f>SUM(B4:B9)</f>
        <v/>
      </c>
      <c r="C10" s="11">
        <f>SUM(C4:C9)</f>
        <v/>
      </c>
      <c r="D10" s="11">
        <f>SUM(D4:D9)</f>
        <v/>
      </c>
      <c r="E10" s="11">
        <f>SUM(E4:E9)</f>
        <v/>
      </c>
    </row>
    <row r="11" ht="15" customHeight="1" s="9">
      <c r="A11" s="12" t="n"/>
      <c r="B11" s="12" t="n"/>
      <c r="C11" s="12" t="n"/>
      <c r="D11" s="12" t="n"/>
      <c r="E11" s="12" t="n"/>
    </row>
    <row r="12" ht="15" customHeight="1" s="9">
      <c r="A12" s="12" t="inlineStr">
        <is>
          <t>Check: total equals number of issues</t>
        </is>
      </c>
      <c r="B12" s="12">
        <f>IF(B10=COUNTA('Issue Log'!$A$2:$A$122),"OK","MISMATCH - a status value is misspelled")</f>
        <v/>
      </c>
      <c r="C12" s="12" t="n"/>
      <c r="D12" s="12" t="n"/>
      <c r="E12" s="12" t="n"/>
    </row>
    <row r="13" ht="15" customHeight="1" s="9">
      <c r="A13" s="12" t="n"/>
      <c r="B13" s="12" t="n"/>
      <c r="C13" s="12" t="n"/>
      <c r="D13" s="12" t="n"/>
      <c r="E13" s="12" t="n"/>
    </row>
    <row r="14" ht="15" customHeight="1" s="9">
      <c r="A14" s="11" t="inlineStr">
        <is>
          <t>Open by owner</t>
        </is>
      </c>
      <c r="B14" s="11" t="inlineStr">
        <is>
          <t>Open items</t>
        </is>
      </c>
      <c r="C14" s="11" t="n"/>
      <c r="D14" s="11" t="n"/>
      <c r="E14" s="11" t="n"/>
    </row>
    <row r="15" ht="15" customHeight="1" s="9">
      <c r="A15" s="12" t="inlineStr">
        <is>
          <t>Business (you)</t>
        </is>
      </c>
      <c r="B15" s="12">
        <f>COUNTIFS('Issue Log'!$K$2:$K$122,A15,'Issue Log'!$H$2:$H$122,"Open*")+COUNTIFS('Issue Log'!$K$2:$K$122,A15,'Issue Log'!$H$2:$H$122,"Assumed*")</f>
        <v/>
      </c>
      <c r="C15" s="12" t="n"/>
      <c r="D15" s="12" t="n"/>
      <c r="E15" s="12" t="n"/>
    </row>
    <row r="16" ht="15" customHeight="1" s="9">
      <c r="A16" s="12" t="inlineStr">
        <is>
          <t>ERP team</t>
        </is>
      </c>
      <c r="B16" s="12">
        <f>COUNTIFS('Issue Log'!$K$2:$K$122,A16,'Issue Log'!$H$2:$H$122,"Open*")+COUNTIFS('Issue Log'!$K$2:$K$122,A16,'Issue Log'!$H$2:$H$122,"Assumed*")</f>
        <v/>
      </c>
      <c r="C16" s="12" t="n"/>
      <c r="D16" s="12" t="n"/>
      <c r="E16" s="12" t="n"/>
    </row>
    <row r="17" ht="15" customHeight="1" s="9">
      <c r="A17" s="12" t="inlineStr">
        <is>
          <t>Data team</t>
        </is>
      </c>
      <c r="B17" s="12">
        <f>COUNTIFS('Issue Log'!$K$2:$K$122,A17,'Issue Log'!$H$2:$H$122,"Open*")+COUNTIFS('Issue Log'!$K$2:$K$122,A17,'Issue Log'!$H$2:$H$122,"Assumed*")</f>
        <v/>
      </c>
      <c r="C17" s="12" t="n"/>
      <c r="D17" s="12" t="n"/>
      <c r="E17" s="1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8" customWidth="1" style="8" min="1" max="1"/>
    <col width="15" customWidth="1" style="8" min="2" max="2"/>
    <col width="20" customWidth="1" style="8" min="3" max="3"/>
    <col width="45" customWidth="1" style="8" min="4" max="4"/>
    <col width="48" customWidth="1" style="8" min="5" max="5"/>
    <col width="38" customWidth="1" style="8" min="6" max="6"/>
    <col width="45" customWidth="1" style="8" min="7" max="7"/>
    <col width="26" customWidth="1" style="8" min="8" max="8"/>
    <col width="40" customWidth="1" style="8" min="9" max="9"/>
    <col width="10" customWidth="1" style="8" min="10" max="10"/>
    <col width="14" customWidth="1" style="8" min="11" max="11"/>
  </cols>
  <sheetData>
    <row r="1" ht="30" customHeight="1" s="9">
      <c r="A1" s="13" t="inlineStr">
        <is>
          <t>ID</t>
        </is>
      </c>
      <c r="B1" s="13" t="inlineStr">
        <is>
          <t>Area</t>
        </is>
      </c>
      <c r="C1" s="13" t="inlineStr">
        <is>
          <t>Source file</t>
        </is>
      </c>
      <c r="D1" s="13" t="inlineStr">
        <is>
          <t>Issue found</t>
        </is>
      </c>
      <c r="E1" s="13" t="inlineStr">
        <is>
          <t>Evidence</t>
        </is>
      </c>
      <c r="F1" s="13" t="inlineStr">
        <is>
          <t>Impact if not handled</t>
        </is>
      </c>
      <c r="G1" s="13" t="inlineStr">
        <is>
          <t>How the model handles it</t>
        </is>
      </c>
      <c r="H1" s="13" t="inlineStr">
        <is>
          <t>Status</t>
        </is>
      </c>
      <c r="I1" s="13" t="inlineStr">
        <is>
          <t>Answer / resolution</t>
        </is>
      </c>
      <c r="J1" s="13" t="inlineStr">
        <is>
          <t>Priority</t>
        </is>
      </c>
      <c r="K1" s="13" t="inlineStr">
        <is>
          <t>Owner</t>
        </is>
      </c>
    </row>
    <row r="2" ht="22.35" customHeight="1" s="9">
      <c r="A2" s="14" t="inlineStr">
        <is>
          <t>D-001</t>
        </is>
      </c>
      <c r="B2" s="14" t="inlineStr">
        <is>
          <t>Scope</t>
        </is>
      </c>
      <c r="C2" s="14" t="inlineStr">
        <is>
          <t>All sample files</t>
        </is>
      </c>
      <c r="D2" s="14" t="inlineStr">
        <is>
          <t>Sample files cover Apr-Sep 2026, not from Apr 2025 as planned</t>
        </is>
      </c>
      <c r="E2" s="14" t="inlineStr">
        <is>
          <t>Sales, transfers, PO, inventory samples all start 1-Apr-2026</t>
        </is>
      </c>
      <c r="F2" s="14" t="inlineStr">
        <is>
          <t>Forecasting needs a full year incl. festive season</t>
        </is>
      </c>
      <c r="G2" s="14" t="inlineStr">
        <is>
          <t>Prototype period set to 1-Apr-2025..15-Sep-2026</t>
        </is>
      </c>
      <c r="H2" s="14" t="inlineStr">
        <is>
          <t>Resolved (business confirmed)</t>
        </is>
      </c>
      <c r="I2" s="14" t="inlineStr">
        <is>
          <t>Samples only; full ~1.5-year data will be provided</t>
        </is>
      </c>
      <c r="J2" s="14" t="inlineStr">
        <is>
          <t>High</t>
        </is>
      </c>
      <c r="K2" s="14" t="inlineStr">
        <is>
          <t>Business (you)</t>
        </is>
      </c>
    </row>
    <row r="3" ht="15" customHeight="1" s="9">
      <c r="A3" s="14" t="inlineStr">
        <is>
          <t>D-002</t>
        </is>
      </c>
      <c r="B3" s="14" t="inlineStr">
        <is>
          <t>Scope</t>
        </is>
      </c>
      <c r="C3" s="14" t="inlineStr">
        <is>
          <t>All sources</t>
        </is>
      </c>
      <c r="D3" s="14" t="inlineStr">
        <is>
          <t>Full 1.5-year data pull not yet received for any source</t>
        </is>
      </c>
      <c r="E3" s="14" t="inlineStr">
        <is>
          <t>Only samples loaded so far</t>
        </is>
      </c>
      <c r="F3" s="14" t="inlineStr">
        <is>
          <t>Nothing can be loaded for real yet</t>
        </is>
      </c>
      <c r="G3" s="14" t="inlineStr">
        <is>
          <t>Loaders will be built against the sample layouts</t>
        </is>
      </c>
      <c r="H3" s="14" t="inlineStr">
        <is>
          <t>Resolved (business confirmed)</t>
        </is>
      </c>
      <c r="I3" s="14" t="inlineStr">
        <is>
          <t>2026-10-22: full exports received (Apr 2025 - Sep 2026) and loaded; reconciled 28/28 against the files.</t>
        </is>
      </c>
      <c r="J3" s="14" t="inlineStr">
        <is>
          <t>High</t>
        </is>
      </c>
      <c r="K3" s="14" t="inlineStr">
        <is>
          <t>Business (you)</t>
        </is>
      </c>
    </row>
    <row r="4" ht="22.35" customHeight="1" s="9">
      <c r="A4" s="14" t="inlineStr">
        <is>
          <t>D-003</t>
        </is>
      </c>
      <c r="B4" s="14" t="inlineStr">
        <is>
          <t>Scope</t>
        </is>
      </c>
      <c r="C4" s="14" t="inlineStr">
        <is>
          <t>Return files</t>
        </is>
      </c>
      <c r="D4" s="14" t="inlineStr">
        <is>
          <t>Return files run past the 15-Sep cut-off</t>
        </is>
      </c>
      <c r="E4" s="14" t="inlineStr">
        <is>
          <t>133 retail return rows and 40 domestic return rows dated 16-22 Sep</t>
        </is>
      </c>
      <c r="F4" s="14" t="inlineStr">
        <is>
          <t>Returns counted without their matching sales period</t>
        </is>
      </c>
      <c r="G4" s="14" t="inlineStr">
        <is>
          <t>Cut-off stored as a setting (meta.pipeline_setting); rows after it excluded at staging</t>
        </is>
      </c>
      <c r="H4" s="14" t="inlineStr">
        <is>
          <t>Resolved (business confirmed)</t>
        </is>
      </c>
      <c r="I4" s="14" t="inlineStr">
        <is>
          <t>Use data only up to 15-Sep-2026</t>
        </is>
      </c>
      <c r="J4" s="14" t="inlineStr">
        <is>
          <t>Medium</t>
        </is>
      </c>
      <c r="K4" s="14" t="inlineStr">
        <is>
          <t>Data team</t>
        </is>
      </c>
    </row>
    <row r="5" ht="22.35" customHeight="1" s="9">
      <c r="A5" s="14" t="inlineStr">
        <is>
          <t>D-004</t>
        </is>
      </c>
      <c r="B5" s="14" t="inlineStr">
        <is>
          <t>Scope</t>
        </is>
      </c>
      <c r="C5" s="14" t="inlineStr">
        <is>
          <t>Inventory</t>
        </is>
      </c>
      <c r="D5" s="14" t="inlineStr">
        <is>
          <t>Inventory history cannot be pulled: only today's snapshot</t>
        </is>
      </c>
      <c r="E5" s="14" t="inlineStr">
        <is>
          <t>Business confirmed; ERP has no historical stock report</t>
        </is>
      </c>
      <c r="F5" s="14" t="inlineStr">
        <is>
          <t>Stock trends impossible for past dates; each unsaved day is lost</t>
        </is>
      </c>
      <c r="G5" s="14" t="inlineStr">
        <is>
          <t>Daily snapshot fact; history approximated by rolling back through movements</t>
        </is>
      </c>
      <c r="H5" s="14" t="inlineStr">
        <is>
          <t>Open - ERP team</t>
        </is>
      </c>
      <c r="I5" s="14" t="inlineStr">
        <is>
          <t>Start saving the ERP, Blinkit and Instamart stock reports daily into a dated folder</t>
        </is>
      </c>
      <c r="J5" s="14" t="inlineStr">
        <is>
          <t>High</t>
        </is>
      </c>
      <c r="K5" s="14" t="inlineStr">
        <is>
          <t>ERP team</t>
        </is>
      </c>
    </row>
    <row r="6" ht="22.35" customHeight="1" s="9">
      <c r="A6" s="14" t="inlineStr">
        <is>
          <t>D-005</t>
        </is>
      </c>
      <c r="B6" s="14" t="inlineStr">
        <is>
          <t>Scope</t>
        </is>
      </c>
      <c r="C6" s="14" t="inlineStr">
        <is>
          <t>Blinkit / Instamart</t>
        </is>
      </c>
      <c r="D6" s="14" t="inlineStr">
        <is>
          <t>Blinkit return sheet (and Instamart's, if any) not received</t>
        </is>
      </c>
      <c r="E6" s="14" t="inlineStr">
        <is>
          <t>Business confirmed returns are in a separate sheet</t>
        </is>
      </c>
      <c r="F6" s="14" t="inlineStr">
        <is>
          <t>Quick-commerce returns missing; net sales overstated</t>
        </is>
      </c>
      <c r="G6" s="14" t="inlineStr">
        <is>
          <t>Will be registered as a new source when received</t>
        </is>
      </c>
      <c r="H6" s="14" t="inlineStr">
        <is>
          <t>Open - business</t>
        </is>
      </c>
      <c r="I6" s="14" t="inlineStr">
        <is>
          <t>Will be shared when available</t>
        </is>
      </c>
      <c r="J6" s="14" t="inlineStr">
        <is>
          <t>Medium</t>
        </is>
      </c>
      <c r="K6" s="14" t="inlineStr">
        <is>
          <t>Business (you)</t>
        </is>
      </c>
    </row>
    <row r="7" ht="22.35" customHeight="1" s="9">
      <c r="A7" s="14" t="inlineStr">
        <is>
          <t>D-006</t>
        </is>
      </c>
      <c r="B7" s="14" t="inlineStr">
        <is>
          <t>Scope</t>
        </is>
      </c>
      <c r="C7" s="14" t="inlineStr">
        <is>
          <t>Franchise / SIS</t>
        </is>
      </c>
      <c r="D7" s="14" t="inlineStr">
        <is>
          <t>No sell-out data from franchise and SIS stores</t>
        </is>
      </c>
      <c r="E7" s="14" t="inlineStr">
        <is>
          <t>Only sell-in invoices exist in the ERP</t>
        </is>
      </c>
      <c r="F7" s="14" t="inlineStr">
        <is>
          <t>Stock AI reads stock that later comes back as demand</t>
        </is>
      </c>
      <c r="G7" s="14" t="inlineStr">
        <is>
          <t>Demand for these channels uses net sales after returns until sell-out arrives</t>
        </is>
      </c>
      <c r="H7" s="14" t="inlineStr">
        <is>
          <t>Open - business</t>
        </is>
      </c>
      <c r="I7" s="14" t="inlineStr">
        <is>
          <t>Business will work out how to extract it</t>
        </is>
      </c>
      <c r="J7" s="14" t="inlineStr">
        <is>
          <t>Medium</t>
        </is>
      </c>
      <c r="K7" s="14" t="inlineStr">
        <is>
          <t>Business (you)</t>
        </is>
      </c>
    </row>
    <row r="8" ht="32.8" customHeight="1" s="9">
      <c r="A8" s="14" t="inlineStr">
        <is>
          <t>D-007</t>
        </is>
      </c>
      <c r="B8" s="14" t="inlineStr">
        <is>
          <t>Scope</t>
        </is>
      </c>
      <c r="C8" s="14" t="inlineStr">
        <is>
          <t>Blinkit / Instamart</t>
        </is>
      </c>
      <c r="D8" s="14" t="inlineStr">
        <is>
          <t>No Blinkit or Instamart invoices found in the ERP for Apr-Sep 2026</t>
        </is>
      </c>
      <c r="E8" s="14" t="inlineStr">
        <is>
          <t>No Kiranakart/Swiggy names in Domestic Sales; no QC channel in Retail Sales; yet Kiranakart appears in returns and Blinkit locations hold ERP stock</t>
        </is>
      </c>
      <c r="F8" s="14" t="inlineStr">
        <is>
          <t>Quick-commerce revenue may be missing from ERP-based revenue</t>
        </is>
      </c>
      <c r="G8" s="14" t="inlineStr">
        <is>
          <t>Revenue = ERP invoices only; platform sell-out stored separately for demand</t>
        </is>
      </c>
      <c r="H8" s="14" t="inlineStr">
        <is>
          <t>Open - business</t>
        </is>
      </c>
      <c r="I8" s="14" t="inlineStr">
        <is>
          <t>Partly answered: QC is sale-or-return. Still unclear where QC invoices are raised in the ERP</t>
        </is>
      </c>
      <c r="J8" s="14" t="inlineStr">
        <is>
          <t>High</t>
        </is>
      </c>
      <c r="K8" s="14" t="inlineStr">
        <is>
          <t>Business (you)</t>
        </is>
      </c>
    </row>
    <row r="9" ht="22.35" customHeight="1" s="9">
      <c r="A9" s="14" t="inlineStr">
        <is>
          <t>D-008</t>
        </is>
      </c>
      <c r="B9" s="14" t="inlineStr">
        <is>
          <t>Scope</t>
        </is>
      </c>
      <c r="C9" s="14" t="inlineStr">
        <is>
          <t>WMS dispatch</t>
        </is>
      </c>
      <c r="D9" s="14" t="inlineStr">
        <is>
          <t>Dispatch sample was pasted as text, not shared as a file</t>
        </is>
      </c>
      <c r="E9" s="14" t="inlineStr">
        <is>
          <t>Rows pasted in chat, dated Apr 2025</t>
        </is>
      </c>
      <c r="F9" s="14" t="inlineStr">
        <is>
          <t>Cannot test joins (e.g. invoice match rate) until a real export arrives</t>
        </is>
      </c>
      <c r="G9" s="14" t="inlineStr">
        <is>
          <t>Model designed from the pasted columns</t>
        </is>
      </c>
      <c r="H9" s="14" t="inlineStr">
        <is>
          <t>Resolved (business confirmed)</t>
        </is>
      </c>
      <c r="I9" s="14" t="inlineStr">
        <is>
          <t>2026-10-22: the full dispatch export arrived as a file (.xlsm); contract verified against it.</t>
        </is>
      </c>
      <c r="J9" s="14" t="inlineStr">
        <is>
          <t>Low</t>
        </is>
      </c>
      <c r="K9" s="14" t="inlineStr">
        <is>
          <t>Business (you)</t>
        </is>
      </c>
    </row>
    <row r="10" ht="22.35" customHeight="1" s="9">
      <c r="A10" s="14" t="inlineStr">
        <is>
          <t>D-009</t>
        </is>
      </c>
      <c r="B10" s="14" t="inlineStr">
        <is>
          <t>Retail sales</t>
        </is>
      </c>
      <c r="C10" s="14" t="inlineStr">
        <is>
          <t>Retail Sales</t>
        </is>
      </c>
      <c r="D10" s="14" t="inlineStr">
        <is>
          <t>CHANNELNAME is the billing location, not the sales channel</t>
        </is>
      </c>
      <c r="E10" s="14" t="inlineStr">
        <is>
          <t>Values like '08 Jaipur Branch', '24 FBA WH - AMD2'</t>
        </is>
      </c>
      <c r="F10" s="14" t="inlineStr">
        <is>
          <t>Channel reports would show warehouses instead of channels</t>
        </is>
      </c>
      <c r="G10" s="14" t="inlineStr">
        <is>
          <t>Channel from CONTACTNAME; CHANNELNAME used as location</t>
        </is>
      </c>
      <c r="H10" s="14" t="inlineStr">
        <is>
          <t>Resolved (business confirmed)</t>
        </is>
      </c>
      <c r="I10" s="14" t="inlineStr">
        <is>
          <t>Use CONTACTNAME for channel</t>
        </is>
      </c>
      <c r="J10" s="14" t="inlineStr">
        <is>
          <t>High</t>
        </is>
      </c>
      <c r="K10" s="14" t="inlineStr">
        <is>
          <t>Data team</t>
        </is>
      </c>
    </row>
    <row r="11" ht="22.35" customHeight="1" s="9">
      <c r="A11" s="14" t="inlineStr">
        <is>
          <t>D-010</t>
        </is>
      </c>
      <c r="B11" s="14" t="inlineStr">
        <is>
          <t>Retail sales</t>
        </is>
      </c>
      <c r="C11" s="14" t="inlineStr">
        <is>
          <t>Retail Sales</t>
        </is>
      </c>
      <c r="D11" s="14" t="inlineStr">
        <is>
          <t>Channel unclear for some payment modes (COD, Snapmint, FNP, ICICI bank, Advance)</t>
        </is>
      </c>
      <c r="E11" s="14" t="inlineStr">
        <is>
          <t>COD = 3,947 lines / Rs 52.9 lakh; Snapmint 80; FNP 19; ICICI 18; Advance 3</t>
        </is>
      </c>
      <c r="F11" s="14" t="inlineStr">
        <is>
          <t>Channel split wrong on the dashboard</t>
        </is>
      </c>
      <c r="G11" s="14" t="inlineStr">
        <is>
          <t>Resolved through CONTACTNAME: COD and Snapmint are all under Shopify_Customer (website)</t>
        </is>
      </c>
      <c r="H11" s="14" t="inlineStr">
        <is>
          <t>Resolved (business confirmed)</t>
        </is>
      </c>
      <c r="I11" s="14" t="inlineStr">
        <is>
          <t>Use CONTACTNAME</t>
        </is>
      </c>
      <c r="J11" s="14" t="inlineStr">
        <is>
          <t>High</t>
        </is>
      </c>
      <c r="K11" s="14" t="inlineStr">
        <is>
          <t>Data team</t>
        </is>
      </c>
    </row>
    <row r="12" ht="32.8" customHeight="1" s="9">
      <c r="A12" s="14" t="inlineStr">
        <is>
          <t>D-011</t>
        </is>
      </c>
      <c r="B12" s="14" t="inlineStr">
        <is>
          <t>Retail sales</t>
        </is>
      </c>
      <c r="C12" s="14" t="inlineStr">
        <is>
          <t>Retail Sales</t>
        </is>
      </c>
      <c r="D12" s="14" t="inlineStr">
        <is>
          <t>PRODASSESSABLEVALUE INCLUDES GST despite its name; PRODDOCVALUE is the excl-GST value</t>
        </is>
      </c>
      <c r="E12" s="14" t="inlineStr">
        <is>
          <t>PRODDOCVALUE + GST = PRODASSESSABLEVALUE on every product line; e.g. MRP 850 - disc 17 = 833 incl GST; 705.93 excl</t>
        </is>
      </c>
      <c r="F12" s="14" t="inlineStr">
        <is>
          <t>Retail revenue overstated by the GST amount</t>
        </is>
      </c>
      <c r="G12" s="14" t="inlineStr">
        <is>
          <t>Headline value = PRODDOCVALUE; load fails if the relationship stops holding</t>
        </is>
      </c>
      <c r="H12" s="14" t="inlineStr">
        <is>
          <t>Resolved (business confirmed)</t>
        </is>
      </c>
      <c r="I12" s="14" t="inlineStr">
        <is>
          <t>Headline sales = excluding GST</t>
        </is>
      </c>
      <c r="J12" s="14" t="inlineStr">
        <is>
          <t>High</t>
        </is>
      </c>
      <c r="K12" s="14" t="inlineStr">
        <is>
          <t>Data team</t>
        </is>
      </c>
    </row>
    <row r="13" ht="32.8" customHeight="1" s="9">
      <c r="A13" s="14" t="inlineStr">
        <is>
          <t>D-012</t>
        </is>
      </c>
      <c r="B13" s="14" t="inlineStr">
        <is>
          <t>Retail sales</t>
        </is>
      </c>
      <c r="C13" s="14" t="inlineStr">
        <is>
          <t>Retail Sales</t>
        </is>
      </c>
      <c r="D13" s="14" t="inlineStr">
        <is>
          <t>PRODDOCVALUE is blank on charge lines (SHIPPING R, Gifting)</t>
        </is>
      </c>
      <c r="E13" s="14" t="inlineStr">
        <is>
          <t>Only non-product lines fail the GST check</t>
        </is>
      </c>
      <c r="F13" s="14" t="inlineStr">
        <is>
          <t>Charge revenue lost if PRODDOCVALUE used blindly</t>
        </is>
      </c>
      <c r="G13" s="14" t="inlineStr">
        <is>
          <t>Excl-GST value for these lines = PRODASSESSABLEVALUE minus GST; kept as CHARGE item type</t>
        </is>
      </c>
      <c r="H13" s="14" t="inlineStr">
        <is>
          <t>Handled in model</t>
        </is>
      </c>
      <c r="I13" s="14" t="n"/>
      <c r="J13" s="14" t="inlineStr">
        <is>
          <t>Low</t>
        </is>
      </c>
      <c r="K13" s="14" t="inlineStr">
        <is>
          <t>Data team</t>
        </is>
      </c>
    </row>
    <row r="14" ht="22.35" customHeight="1" s="9">
      <c r="A14" s="14" t="inlineStr">
        <is>
          <t>D-013</t>
        </is>
      </c>
      <c r="B14" s="14" t="inlineStr">
        <is>
          <t>Retail sales</t>
        </is>
      </c>
      <c r="C14" s="14" t="inlineStr">
        <is>
          <t>Retail Sales</t>
        </is>
      </c>
      <c r="D14" s="14" t="inlineStr">
        <is>
          <t>Non-product codes appear as invoice lines</t>
        </is>
      </c>
      <c r="E14" s="14" t="inlineStr">
        <is>
          <t>SHIPPING R, carry bags COCB04-06, Gifting, packaging codes</t>
        </is>
      </c>
      <c r="F14" s="14" t="inlineStr">
        <is>
          <t>Product sales and SKU counts polluted</t>
        </is>
      </c>
      <c r="G14" s="14" t="inlineStr">
        <is>
          <t>Every code kept in dim_product with item_type; SKU analysis uses TRADING only</t>
        </is>
      </c>
      <c r="H14" s="14" t="inlineStr">
        <is>
          <t>Handled in model</t>
        </is>
      </c>
      <c r="I14" s="14" t="n"/>
      <c r="J14" s="14" t="inlineStr">
        <is>
          <t>Medium</t>
        </is>
      </c>
      <c r="K14" s="14" t="inlineStr">
        <is>
          <t>Data team</t>
        </is>
      </c>
    </row>
    <row r="15" ht="22.35" customHeight="1" s="9">
      <c r="A15" s="14" t="inlineStr">
        <is>
          <t>D-014</t>
        </is>
      </c>
      <c r="B15" s="14" t="inlineStr">
        <is>
          <t>Retail sales</t>
        </is>
      </c>
      <c r="C15" s="14" t="inlineStr">
        <is>
          <t>Retail Sales</t>
        </is>
      </c>
      <c r="D15" s="14" t="inlineStr">
        <is>
          <t>Bare contact 'Dileep Essentials Pvt Ltd' on retail invoices</t>
        </is>
      </c>
      <c r="E15" s="14" t="inlineStr">
        <is>
          <t>39 lines, Rs 2 lakh; paid via 'DEPL HYD Store A/c', 'DEPL Jaipur - C-Scheme Exp.'</t>
        </is>
      </c>
      <c r="F15" s="14" t="inlineStr">
        <is>
          <t>Mis-classified as a D2C sale</t>
        </is>
      </c>
      <c r="G15" s="14" t="inlineStr">
        <is>
          <t>Classified as export through Dileep</t>
        </is>
      </c>
      <c r="H15" s="14" t="inlineStr">
        <is>
          <t>Resolved (business confirmed)</t>
        </is>
      </c>
      <c r="I15" s="14" t="inlineStr">
        <is>
          <t>All are exports through Dileep</t>
        </is>
      </c>
      <c r="J15" s="14" t="inlineStr">
        <is>
          <t>Medium</t>
        </is>
      </c>
      <c r="K15" s="14" t="inlineStr">
        <is>
          <t>Data team</t>
        </is>
      </c>
    </row>
    <row r="16" ht="22.35" customHeight="1" s="9">
      <c r="A16" s="14" t="inlineStr">
        <is>
          <t>D-015</t>
        </is>
      </c>
      <c r="B16" s="14" t="inlineStr">
        <is>
          <t>Retail sales</t>
        </is>
      </c>
      <c r="C16" s="14" t="inlineStr">
        <is>
          <t>Retail Sales</t>
        </is>
      </c>
      <c r="D16" s="14" t="inlineStr">
        <is>
          <t>Two Nykaa names: 'Nykaa Fashion' (900 lines) and 'Nykaa' (34 lines)</t>
        </is>
      </c>
      <c r="E16" s="14" t="inlineStr">
        <is>
          <t>Payment modes 'Prepaid - Nykaa Fashion' and 'Prepaid - Nykaa'</t>
        </is>
      </c>
      <c r="F16" s="14" t="inlineStr">
        <is>
          <t>Nykaa split across two channels</t>
        </is>
      </c>
      <c r="G16" s="14" t="inlineStr">
        <is>
          <t>Proposed: one channel 'Nykaa' with the two names kept as sub-channels</t>
        </is>
      </c>
      <c r="H16" s="14" t="inlineStr">
        <is>
          <t>Assumed - please confirm</t>
        </is>
      </c>
      <c r="I16" s="14" t="n"/>
      <c r="J16" s="14" t="inlineStr">
        <is>
          <t>Low</t>
        </is>
      </c>
      <c r="K16" s="14" t="inlineStr">
        <is>
          <t>Business (you)</t>
        </is>
      </c>
    </row>
    <row r="17" ht="15" customHeight="1" s="9">
      <c r="A17" s="14" t="inlineStr">
        <is>
          <t>D-016</t>
        </is>
      </c>
      <c r="B17" s="14" t="inlineStr">
        <is>
          <t>Retail sales</t>
        </is>
      </c>
      <c r="C17" s="14" t="inlineStr">
        <is>
          <t>Retail Sales</t>
        </is>
      </c>
      <c r="D17" s="14" t="inlineStr">
        <is>
          <t>144 Jaipur Branch rows have a blank payment mode</t>
        </is>
      </c>
      <c r="E17" s="14" t="inlineStr">
        <is>
          <t>All at '08 Jaipur Branch'</t>
        </is>
      </c>
      <c r="F17" s="14" t="inlineStr">
        <is>
          <t>Payment-type analysis incomplete</t>
        </is>
      </c>
      <c r="G17" s="14" t="inlineStr">
        <is>
          <t>Channel comes from CONTACTNAME, so not blocking</t>
        </is>
      </c>
      <c r="H17" s="14" t="inlineStr">
        <is>
          <t>Handled in model</t>
        </is>
      </c>
      <c r="I17" s="14" t="n"/>
      <c r="J17" s="14" t="inlineStr">
        <is>
          <t>Low</t>
        </is>
      </c>
      <c r="K17" s="14" t="inlineStr">
        <is>
          <t>ERP team</t>
        </is>
      </c>
    </row>
    <row r="18" ht="15" customHeight="1" s="9">
      <c r="A18" s="14" t="inlineStr">
        <is>
          <t>D-017</t>
        </is>
      </c>
      <c r="B18" s="14" t="inlineStr">
        <is>
          <t>Retail sales</t>
        </is>
      </c>
      <c r="C18" s="14" t="inlineStr">
        <is>
          <t>Retail Sales</t>
        </is>
      </c>
      <c r="D18" s="14" t="inlineStr">
        <is>
          <t>Almost no returns inside the sales file</t>
        </is>
      </c>
      <c r="E18" s="14" t="inlineStr">
        <is>
          <t>Only 19 credit notes in 25,899 lines</t>
        </is>
      </c>
      <c r="F18" s="14" t="inlineStr">
        <is>
          <t>Returns under-counted</t>
        </is>
      </c>
      <c r="G18" s="14" t="inlineStr">
        <is>
          <t>Returns loaded from the dedicated return registers</t>
        </is>
      </c>
      <c r="H18" s="14" t="inlineStr">
        <is>
          <t>Resolved (business confirmed)</t>
        </is>
      </c>
      <c r="I18" s="14" t="inlineStr">
        <is>
          <t>Return data sheets provided</t>
        </is>
      </c>
      <c r="J18" s="14" t="inlineStr">
        <is>
          <t>High</t>
        </is>
      </c>
      <c r="K18" s="14" t="inlineStr">
        <is>
          <t>Data team</t>
        </is>
      </c>
    </row>
    <row r="19" ht="22.35" customHeight="1" s="9">
      <c r="A19" s="14" t="inlineStr">
        <is>
          <t>D-018</t>
        </is>
      </c>
      <c r="B19" s="14" t="inlineStr">
        <is>
          <t>Retail sales</t>
        </is>
      </c>
      <c r="C19" s="14" t="inlineStr">
        <is>
          <t>Retail Sales, WMS</t>
        </is>
      </c>
      <c r="D19" s="14" t="inlineStr">
        <is>
          <t>Customer personal data (names, phones, emails, addresses)</t>
        </is>
      </c>
      <c r="E19" s="14" t="inlineStr">
        <is>
          <t>Present in Retail Sales and WMS dispatch</t>
        </is>
      </c>
      <c r="F19" s="14" t="inlineStr">
        <is>
          <t>Privacy and compliance risk</t>
        </is>
      </c>
      <c r="G19" s="14" t="inlineStr">
        <is>
          <t>PII stays only in the restricted raw layer; core and mart hold pincode/city/state only</t>
        </is>
      </c>
      <c r="H19" s="14" t="inlineStr">
        <is>
          <t>Handled in model</t>
        </is>
      </c>
      <c r="I19" s="14" t="n"/>
      <c r="J19" s="14" t="inlineStr">
        <is>
          <t>High</t>
        </is>
      </c>
      <c r="K19" s="14" t="inlineStr">
        <is>
          <t>Data team</t>
        </is>
      </c>
    </row>
    <row r="20" ht="22.35" customHeight="1" s="9">
      <c r="A20" s="14" t="inlineStr">
        <is>
          <t>D-019</t>
        </is>
      </c>
      <c r="B20" s="14" t="inlineStr">
        <is>
          <t>Domestic sales</t>
        </is>
      </c>
      <c r="C20" s="14" t="inlineStr">
        <is>
          <t>Domestic Sales</t>
        </is>
      </c>
      <c r="D20" s="14" t="inlineStr">
        <is>
          <t>CONTACTNAME mixes B2B, franchise, SIS, quick commerce, group exports and employees</t>
        </is>
      </c>
      <c r="E20" s="14" t="inlineStr">
        <is>
          <t>117 distinct accounts in the sample</t>
        </is>
      </c>
      <c r="F20" s="14" t="inlineStr">
        <is>
          <t>Sale-or-return stock counted as final revenue</t>
        </is>
      </c>
      <c r="G20" s="14" t="inlineStr">
        <is>
          <t>Separate partner types; B2B = final, franchise/SIS/QC = sale-or-return</t>
        </is>
      </c>
      <c r="H20" s="14" t="inlineStr">
        <is>
          <t>Open - business</t>
        </is>
      </c>
      <c r="I20" s="14" t="inlineStr">
        <is>
          <t>Rules confirmed. Billing names of franchise, SIS and QC partners still to be supplied</t>
        </is>
      </c>
      <c r="J20" s="14" t="inlineStr">
        <is>
          <t>High</t>
        </is>
      </c>
      <c r="K20" s="14" t="inlineStr">
        <is>
          <t>Business (you)</t>
        </is>
      </c>
    </row>
    <row r="21" ht="22.35" customHeight="1" s="9">
      <c r="A21" s="14" t="inlineStr">
        <is>
          <t>D-020</t>
        </is>
      </c>
      <c r="B21" s="14" t="inlineStr">
        <is>
          <t>Domestic sales</t>
        </is>
      </c>
      <c r="C21" s="14" t="inlineStr">
        <is>
          <t>Domestic Sales</t>
        </is>
      </c>
      <c r="D21" s="14" t="inlineStr">
        <is>
          <t>Invoices to Dileep group companies</t>
        </is>
      </c>
      <c r="E21" s="14" t="inlineStr">
        <is>
          <t>54 lines, 15 bills, Rs 21.4 lakh (7.75% of domestic taxable), mostly Dileep Crafts</t>
        </is>
      </c>
      <c r="F21" s="14" t="inlineStr">
        <is>
          <t>Related-party sales inflate revenue and distort margin</t>
        </is>
      </c>
      <c r="G21" s="14" t="inlineStr">
        <is>
          <t>Partner type GROUP_EXPORT: exports at cost, shown as own channel</t>
        </is>
      </c>
      <c r="H21" s="14" t="inlineStr">
        <is>
          <t>Resolved (business confirmed)</t>
        </is>
      </c>
      <c r="I21" s="14" t="inlineStr">
        <is>
          <t>Exports go through Dileep, billed cost-to-cost</t>
        </is>
      </c>
      <c r="J21" s="14" t="inlineStr">
        <is>
          <t>High</t>
        </is>
      </c>
      <c r="K21" s="14" t="inlineStr">
        <is>
          <t>Data team</t>
        </is>
      </c>
    </row>
    <row r="22" ht="22.35" customHeight="1" s="9">
      <c r="A22" s="14" t="inlineStr">
        <is>
          <t>D-021</t>
        </is>
      </c>
      <c r="B22" s="14" t="inlineStr">
        <is>
          <t>Domestic sales</t>
        </is>
      </c>
      <c r="C22" s="14" t="inlineStr">
        <is>
          <t>Domestic Sales</t>
        </is>
      </c>
      <c r="D22" s="14" t="inlineStr">
        <is>
          <t>Low unit prices on Dileep Industries and Dileep Jewellery bills</t>
        </is>
      </c>
      <c r="E22" s="14" t="inlineStr">
        <is>
          <t>Rs 5-25 per unit, no discount (e.g. 280 units for Rs 1,606)</t>
        </is>
      </c>
      <c r="F22" s="14" t="inlineStr">
        <is>
          <t>Could look like data errors</t>
        </is>
      </c>
      <c r="G22" s="14" t="inlineStr">
        <is>
          <t>Kept as recorded</t>
        </is>
      </c>
      <c r="H22" s="14" t="inlineStr">
        <is>
          <t>Resolved (business confirmed)</t>
        </is>
      </c>
      <c r="I22" s="14" t="inlineStr">
        <is>
          <t>These are cost prices</t>
        </is>
      </c>
      <c r="J22" s="14" t="inlineStr">
        <is>
          <t>Low</t>
        </is>
      </c>
      <c r="K22" s="14" t="inlineStr">
        <is>
          <t>Data team</t>
        </is>
      </c>
    </row>
    <row r="23" ht="32.8" customHeight="1" s="9">
      <c r="A23" s="14" t="inlineStr">
        <is>
          <t>D-022</t>
        </is>
      </c>
      <c r="B23" s="14" t="inlineStr">
        <is>
          <t>Domestic sales</t>
        </is>
      </c>
      <c r="C23" s="14" t="inlineStr">
        <is>
          <t>Domestic Sales</t>
        </is>
      </c>
      <c r="D23" s="14" t="inlineStr">
        <is>
          <t>CORRECTION: earlier example (price 1,855.93, discount 1,855.09, taxable 0.84) was an Ayush Baid (employee) line, NOT a Dileep bill</t>
        </is>
      </c>
      <c r="E23" s="14" t="inlineStr">
        <is>
          <t>Checked: only 2 Dileep lines have a near-100% discount (Sampling Unit Rs 0.97, Potteries Rs 0.96)</t>
        </is>
      </c>
      <c r="F23" s="14" t="inlineStr">
        <is>
          <t>Wrong conclusion about Dileep pricing</t>
        </is>
      </c>
      <c r="G23" s="14" t="inlineStr">
        <is>
          <t>Record corrected</t>
        </is>
      </c>
      <c r="H23" s="14" t="inlineStr">
        <is>
          <t>Resolved (business confirmed)</t>
        </is>
      </c>
      <c r="I23" s="14" t="inlineStr">
        <is>
          <t>Corrected in this log</t>
        </is>
      </c>
      <c r="J23" s="14" t="inlineStr">
        <is>
          <t>Low</t>
        </is>
      </c>
      <c r="K23" s="14" t="inlineStr">
        <is>
          <t>Data team</t>
        </is>
      </c>
    </row>
    <row r="24" ht="22.35" customHeight="1" s="9">
      <c r="A24" s="14" t="inlineStr">
        <is>
          <t>D-023</t>
        </is>
      </c>
      <c r="B24" s="14" t="inlineStr">
        <is>
          <t>Domestic sales</t>
        </is>
      </c>
      <c r="C24" s="14" t="inlineStr">
        <is>
          <t>Domestic Sales</t>
        </is>
      </c>
      <c r="D24" s="14" t="inlineStr">
        <is>
          <t>Lines billed at normal price with a 99-100% discount (near-free)</t>
        </is>
      </c>
      <c r="E24" s="14" t="inlineStr">
        <is>
          <t>106 lines, 60 bills, Rs 63 total: Ayush Baid 42, Sundry Customer 22, Tanishq/Titan 14, others</t>
        </is>
      </c>
      <c r="F24" s="14" t="inlineStr">
        <is>
          <t>Free units counted as sold: demand inflated for Stock AI; B2B sample units counted as B2B sales</t>
        </is>
      </c>
      <c r="G24" s="14" t="inlineStr">
        <is>
          <t>Proposed: flag lines with &gt;=99% discount as 'free / sample issue' and exclude them from demand</t>
        </is>
      </c>
      <c r="H24" s="14" t="inlineStr">
        <is>
          <t>Open - business</t>
        </is>
      </c>
      <c r="I24" s="14" t="inlineStr">
        <is>
          <t>Are these samples / free issues?</t>
        </is>
      </c>
      <c r="J24" s="14" t="inlineStr">
        <is>
          <t>High</t>
        </is>
      </c>
      <c r="K24" s="14" t="inlineStr">
        <is>
          <t>Business (you)</t>
        </is>
      </c>
    </row>
    <row r="25" ht="22.35" customHeight="1" s="9">
      <c r="A25" s="14" t="inlineStr">
        <is>
          <t>D-024</t>
        </is>
      </c>
      <c r="B25" s="14" t="inlineStr">
        <is>
          <t>Domestic sales</t>
        </is>
      </c>
      <c r="C25" s="14" t="inlineStr">
        <is>
          <t>Domestic Sales</t>
        </is>
      </c>
      <c r="D25" s="14" t="inlineStr">
        <is>
          <t>'Sundry Customer' is a catch-all account</t>
        </is>
      </c>
      <c r="E25" s="14" t="inlineStr">
        <is>
          <t>171 lines, 21 bills, Rs 4,960 taxable; products incl. cake stand, paper bags, tissue, gift cards</t>
        </is>
      </c>
      <c r="F25" s="14" t="inlineStr">
        <is>
          <t>Default rule would treat it as an EMPLOYEE (not on business list)</t>
        </is>
      </c>
      <c r="G25" s="14" t="inlineStr">
        <is>
          <t>Held as UNCLASSIFIED until answered</t>
        </is>
      </c>
      <c r="H25" s="14" t="inlineStr">
        <is>
          <t>Open - business</t>
        </is>
      </c>
      <c r="I25" s="14" t="inlineStr">
        <is>
          <t>What is Sundry Customer (walk-in / cash B2B / misc)?</t>
        </is>
      </c>
      <c r="J25" s="14" t="inlineStr">
        <is>
          <t>Medium</t>
        </is>
      </c>
      <c r="K25" s="14" t="inlineStr">
        <is>
          <t>Business (you)</t>
        </is>
      </c>
    </row>
    <row r="26" ht="22.35" customHeight="1" s="9">
      <c r="A26" s="14" t="inlineStr">
        <is>
          <t>D-025</t>
        </is>
      </c>
      <c r="B26" s="14" t="inlineStr">
        <is>
          <t>Domestic sales</t>
        </is>
      </c>
      <c r="C26" s="14" t="inlineStr">
        <is>
          <t>Domestic Sales</t>
        </is>
      </c>
      <c r="D26" s="14" t="inlineStr">
        <is>
          <t>209 lines have a blank Taxable value</t>
        </is>
      </c>
      <c r="E26" s="14" t="inlineStr">
        <is>
          <t>Mostly carry bags (COCB04-11); 146 on Sundry Customer; Net Amount is present on all of them</t>
        </is>
      </c>
      <c r="F26" s="14" t="inlineStr">
        <is>
          <t>Revenue lost for these lines if Taxable used blindly</t>
        </is>
      </c>
      <c r="G26" s="14" t="inlineStr">
        <is>
          <t>Proposed: Taxable = Net Amount - Total Tax (relationship holds on 100% of other lines), flagged as derived</t>
        </is>
      </c>
      <c r="H26" s="14" t="inlineStr">
        <is>
          <t>Handled in model</t>
        </is>
      </c>
      <c r="I26" s="14" t="n"/>
      <c r="J26" s="14" t="inlineStr">
        <is>
          <t>Medium</t>
        </is>
      </c>
      <c r="K26" s="14" t="inlineStr">
        <is>
          <t>Data team</t>
        </is>
      </c>
    </row>
    <row r="27" ht="15" customHeight="1" s="9">
      <c r="A27" s="14" t="inlineStr">
        <is>
          <t>D-026</t>
        </is>
      </c>
      <c r="B27" s="14" t="inlineStr">
        <is>
          <t>Domestic sales</t>
        </is>
      </c>
      <c r="C27" s="14" t="inlineStr">
        <is>
          <t>Domestic Sales</t>
        </is>
      </c>
      <c r="D27" s="14" t="inlineStr">
        <is>
          <t>Net Amount INCLUDES GST</t>
        </is>
      </c>
      <c r="E27" s="14" t="inlineStr">
        <is>
          <t>Taxable + Total Tax = Net Amount on 100% of 5,042 lines</t>
        </is>
      </c>
      <c r="F27" s="14" t="inlineStr">
        <is>
          <t>Revenue overstated if Net Amount used</t>
        </is>
      </c>
      <c r="G27" s="14" t="inlineStr">
        <is>
          <t>Headline value = Taxable</t>
        </is>
      </c>
      <c r="H27" s="14" t="inlineStr">
        <is>
          <t>Resolved (business confirmed)</t>
        </is>
      </c>
      <c r="I27" s="14" t="inlineStr">
        <is>
          <t>Headline sales = excluding GST</t>
        </is>
      </c>
      <c r="J27" s="14" t="inlineStr">
        <is>
          <t>High</t>
        </is>
      </c>
      <c r="K27" s="14" t="inlineStr">
        <is>
          <t>Data team</t>
        </is>
      </c>
    </row>
    <row r="28" ht="22.35" customHeight="1" s="9">
      <c r="A28" s="14" t="inlineStr">
        <is>
          <t>D-027</t>
        </is>
      </c>
      <c r="B28" s="14" t="inlineStr">
        <is>
          <t>Domestic sales</t>
        </is>
      </c>
      <c r="C28" s="14" t="inlineStr">
        <is>
          <t>Domestic Sales</t>
        </is>
      </c>
      <c r="D28" s="14" t="inlineStr">
        <is>
          <t>Direct export rows to Singapore, although exports are said to go through Dileep</t>
        </is>
      </c>
      <c r="E28" s="14" t="inlineStr">
        <is>
          <t>2 lines to 'Hindustan Exports', Rs 1 each</t>
        </is>
      </c>
      <c r="F28" s="14" t="inlineStr">
        <is>
          <t>Unclear classification</t>
        </is>
      </c>
      <c r="G28" s="14" t="inlineStr">
        <is>
          <t>Held as EXPORT_CUSTOMER; Rs 1 lines also fall under the near-free issue</t>
        </is>
      </c>
      <c r="H28" s="14" t="inlineStr">
        <is>
          <t>Open - business</t>
        </is>
      </c>
      <c r="I28" s="14" t="inlineStr">
        <is>
          <t>Are these samples to an exporter?</t>
        </is>
      </c>
      <c r="J28" s="14" t="inlineStr">
        <is>
          <t>Low</t>
        </is>
      </c>
      <c r="K28" s="14" t="inlineStr">
        <is>
          <t>Business (you)</t>
        </is>
      </c>
    </row>
    <row r="29" ht="22.35" customHeight="1" s="9">
      <c r="A29" s="14" t="inlineStr">
        <is>
          <t>D-028</t>
        </is>
      </c>
      <c r="B29" s="14" t="inlineStr">
        <is>
          <t>Domestic sales</t>
        </is>
      </c>
      <c r="C29" s="14" t="inlineStr">
        <is>
          <t>Domestic Sales</t>
        </is>
      </c>
      <c r="D29" s="14" t="inlineStr">
        <is>
          <t>Person names are employees taking exhibition stock</t>
        </is>
      </c>
      <c r="E29" s="14" t="inlineStr">
        <is>
          <t>e.g. Ayush Baid, Riya Sharma</t>
        </is>
      </c>
      <c r="F29" s="14" t="inlineStr">
        <is>
          <t>Internal movement counted as B2B sales</t>
        </is>
      </c>
      <c r="G29" s="14" t="inlineStr">
        <is>
          <t>Unlisted names = EMPLOYEE by rule; each load reports names classified this way</t>
        </is>
      </c>
      <c r="H29" s="14" t="inlineStr">
        <is>
          <t>Resolved (business confirmed)</t>
        </is>
      </c>
      <c r="I29" s="14" t="inlineStr">
        <is>
          <t>Any person's name is an employee; no list needed</t>
        </is>
      </c>
      <c r="J29" s="14" t="inlineStr">
        <is>
          <t>High</t>
        </is>
      </c>
      <c r="K29" s="14" t="inlineStr">
        <is>
          <t>Data team</t>
        </is>
      </c>
    </row>
    <row r="30" ht="15" customHeight="1" s="9">
      <c r="A30" s="14" t="inlineStr">
        <is>
          <t>D-029</t>
        </is>
      </c>
      <c r="B30" s="14" t="inlineStr">
        <is>
          <t>Returns</t>
        </is>
      </c>
      <c r="C30" s="14" t="inlineStr">
        <is>
          <t>Retail Sales Return</t>
        </is>
      </c>
      <c r="D30" s="14" t="inlineStr">
        <is>
          <t>FBA-named contacts in retail returns</t>
        </is>
      </c>
      <c r="E30" s="14" t="inlineStr">
        <is>
          <t>e.g. 'Dileep Essentials Pvt Ltd FBA DED4'</t>
        </is>
      </c>
      <c r="F30" s="14" t="inlineStr">
        <is>
          <t>Could be mistaken for internal transfers</t>
        </is>
      </c>
      <c r="G30" s="14" t="inlineStr">
        <is>
          <t>Genuine customer returns, received at that FBA warehouse</t>
        </is>
      </c>
      <c r="H30" s="14" t="inlineStr">
        <is>
          <t>Resolved (business confirmed)</t>
        </is>
      </c>
      <c r="I30" s="14" t="inlineStr">
        <is>
          <t>Customer returns going back to FBA</t>
        </is>
      </c>
      <c r="J30" s="14" t="inlineStr">
        <is>
          <t>Medium</t>
        </is>
      </c>
      <c r="K30" s="14" t="inlineStr">
        <is>
          <t>Data team</t>
        </is>
      </c>
    </row>
    <row r="31" ht="15" customHeight="1" s="9">
      <c r="A31" s="14" t="inlineStr">
        <is>
          <t>D-030</t>
        </is>
      </c>
      <c r="B31" s="14" t="inlineStr">
        <is>
          <t>Returns</t>
        </is>
      </c>
      <c r="C31" s="14" t="inlineStr">
        <is>
          <t>Domestic Sale Return</t>
        </is>
      </c>
      <c r="D31" s="14" t="inlineStr">
        <is>
          <t>Person names in domestic returns</t>
        </is>
      </c>
      <c r="E31" s="14" t="inlineStr">
        <is>
          <t>e.g. Riya Sharma-Customer, Ayush Baid</t>
        </is>
      </c>
      <c r="F31" s="14" t="inlineStr">
        <is>
          <t>Counted as B2B returns</t>
        </is>
      </c>
      <c r="G31" s="14" t="inlineStr">
        <is>
          <t>EMPLOYEE by rule; excluded from return-rate metrics</t>
        </is>
      </c>
      <c r="H31" s="14" t="inlineStr">
        <is>
          <t>Resolved (business confirmed)</t>
        </is>
      </c>
      <c r="I31" s="14" t="inlineStr">
        <is>
          <t>Employees returning exhibition stock</t>
        </is>
      </c>
      <c r="J31" s="14" t="inlineStr">
        <is>
          <t>Medium</t>
        </is>
      </c>
      <c r="K31" s="14" t="inlineStr">
        <is>
          <t>Data team</t>
        </is>
      </c>
    </row>
    <row r="32" ht="22.35" customHeight="1" s="9">
      <c r="A32" s="14" t="inlineStr">
        <is>
          <t>D-031</t>
        </is>
      </c>
      <c r="B32" s="14" t="inlineStr">
        <is>
          <t>Returns</t>
        </is>
      </c>
      <c r="C32" s="14" t="inlineStr">
        <is>
          <t>Domestic Sale Return</t>
        </is>
      </c>
      <c r="D32" s="14" t="inlineStr">
        <is>
          <t>Kiranakart Technologies (Blinkit) appears in domestic returns</t>
        </is>
      </c>
      <c r="E32" s="14" t="inlineStr">
        <is>
          <t>Returns found in the domestic return register</t>
        </is>
      </c>
      <c r="F32" s="14" t="inlineStr">
        <is>
          <t>Could look misplaced</t>
        </is>
      </c>
      <c r="G32" s="14" t="inlineStr">
        <is>
          <t>Unsold stock back from a sale-or-return partner</t>
        </is>
      </c>
      <c r="H32" s="14" t="inlineStr">
        <is>
          <t>Resolved (business confirmed)</t>
        </is>
      </c>
      <c r="I32" s="14" t="inlineStr">
        <is>
          <t>Blinkit returns unsold stock</t>
        </is>
      </c>
      <c r="J32" s="14" t="inlineStr">
        <is>
          <t>Medium</t>
        </is>
      </c>
      <c r="K32" s="14" t="inlineStr">
        <is>
          <t>Data team</t>
        </is>
      </c>
    </row>
    <row r="33" ht="32.8" customHeight="1" s="9">
      <c r="A33" s="14" t="inlineStr">
        <is>
          <t>D-032</t>
        </is>
      </c>
      <c r="B33" s="14" t="inlineStr">
        <is>
          <t>Returns</t>
        </is>
      </c>
      <c r="C33" s="14" t="inlineStr">
        <is>
          <t>Domestic Sale Return</t>
        </is>
      </c>
      <c r="D33" s="14" t="inlineStr">
        <is>
          <t>Return date field holds several dates joined by ';'</t>
        </is>
      </c>
      <c r="E33" s="14" t="inlineStr">
        <is>
          <t>CORRECTED: first read as the same date repeated. Loader found they can DIFFER (437 rows in FY25-26, e.g. '22/11/2024;22/01/2025'); see the goods-receipt issue below</t>
        </is>
      </c>
      <c r="F33" s="14" t="inlineStr">
        <is>
          <t>Dates fail to parse or pick the wrong day</t>
        </is>
      </c>
      <c r="G33" s="14" t="inlineStr">
        <is>
          <t>Raw keeps the text unchanged; handled with the goods-receipt issue</t>
        </is>
      </c>
      <c r="H33" s="14" t="inlineStr">
        <is>
          <t>Handled in model</t>
        </is>
      </c>
      <c r="I33" s="14" t="n"/>
      <c r="J33" s="14" t="inlineStr">
        <is>
          <t>Medium</t>
        </is>
      </c>
      <c r="K33" s="14" t="inlineStr">
        <is>
          <t>Data team</t>
        </is>
      </c>
    </row>
    <row r="34" ht="15" customHeight="1" s="9">
      <c r="A34" s="14" t="inlineStr">
        <is>
          <t>D-033</t>
        </is>
      </c>
      <c r="B34" s="14" t="inlineStr">
        <is>
          <t>Returns</t>
        </is>
      </c>
      <c r="C34" s="14" t="inlineStr">
        <is>
          <t>Return files</t>
        </is>
      </c>
      <c r="D34" s="14" t="inlineStr">
        <is>
          <t>Return date column name differs by file</t>
        </is>
      </c>
      <c r="E34" s="14" t="inlineStr">
        <is>
          <t>Retail: RETURNDATE; Domestic: RTNFROMCUSTDT</t>
        </is>
      </c>
      <c r="F34" s="14" t="inlineStr">
        <is>
          <t>Wrong column picked</t>
        </is>
      </c>
      <c r="G34" s="14" t="inlineStr">
        <is>
          <t>Mapped explicitly per source</t>
        </is>
      </c>
      <c r="H34" s="14" t="inlineStr">
        <is>
          <t>Handled in model</t>
        </is>
      </c>
      <c r="I34" s="14" t="n"/>
      <c r="J34" s="14" t="inlineStr">
        <is>
          <t>Low</t>
        </is>
      </c>
      <c r="K34" s="14" t="inlineStr">
        <is>
          <t>Data team</t>
        </is>
      </c>
    </row>
    <row r="35" ht="15" customHeight="1" s="9">
      <c r="A35" s="14" t="inlineStr">
        <is>
          <t>D-034</t>
        </is>
      </c>
      <c r="B35" s="14" t="inlineStr">
        <is>
          <t>Returns</t>
        </is>
      </c>
      <c r="C35" s="14" t="inlineStr">
        <is>
          <t>Retail Sales Return</t>
        </is>
      </c>
      <c r="D35" s="14" t="inlineStr">
        <is>
          <t>~7% of retail returns don't match a sale in the sample</t>
        </is>
      </c>
      <c r="E35" s="14" t="inlineStr">
        <is>
          <t>2,875 of 3,089 bills matched</t>
        </is>
      </c>
      <c r="F35" s="14" t="inlineStr">
        <is>
          <t>Returns without their original sale</t>
        </is>
      </c>
      <c r="G35" s="14" t="inlineStr">
        <is>
          <t>Expected (sales before Apr 2026); re-check on full data</t>
        </is>
      </c>
      <c r="H35" s="14" t="inlineStr">
        <is>
          <t>Open - verify with full data</t>
        </is>
      </c>
      <c r="I35" s="14" t="n"/>
      <c r="J35" s="14" t="inlineStr">
        <is>
          <t>Low</t>
        </is>
      </c>
      <c r="K35" s="14" t="inlineStr">
        <is>
          <t>Data team</t>
        </is>
      </c>
    </row>
    <row r="36" ht="15" customHeight="1" s="9">
      <c r="A36" s="14" t="inlineStr">
        <is>
          <t>D-035</t>
        </is>
      </c>
      <c r="B36" s="14" t="inlineStr">
        <is>
          <t>Returns</t>
        </is>
      </c>
      <c r="C36" s="14" t="inlineStr">
        <is>
          <t>Retail Sales Return</t>
        </is>
      </c>
      <c r="D36" s="14" t="inlineStr">
        <is>
          <t>Shipping-charge reversal lines in returns</t>
        </is>
      </c>
      <c r="E36" s="14" t="inlineStr">
        <is>
          <t>287 rows with PRODNUM 'SHIPPING R'</t>
        </is>
      </c>
      <c r="F36" s="14" t="inlineStr">
        <is>
          <t>Returned 'units' of a non-product</t>
        </is>
      </c>
      <c r="G36" s="14" t="inlineStr">
        <is>
          <t>CHARGE item type; excluded from product returns</t>
        </is>
      </c>
      <c r="H36" s="14" t="inlineStr">
        <is>
          <t>Handled in model</t>
        </is>
      </c>
      <c r="I36" s="14" t="n"/>
      <c r="J36" s="14" t="inlineStr">
        <is>
          <t>Low</t>
        </is>
      </c>
      <c r="K36" s="14" t="inlineStr">
        <is>
          <t>Data team</t>
        </is>
      </c>
    </row>
    <row r="37" ht="22.35" customHeight="1" s="9">
      <c r="A37" s="14" t="inlineStr">
        <is>
          <t>D-036</t>
        </is>
      </c>
      <c r="B37" s="14" t="inlineStr">
        <is>
          <t>Returns</t>
        </is>
      </c>
      <c r="C37" s="14" t="inlineStr">
        <is>
          <t>Domestic Sale Return</t>
        </is>
      </c>
      <c r="D37" s="14" t="inlineStr">
        <is>
          <t>Domestic returns have no clear link to the original invoice</t>
        </is>
      </c>
      <c r="E37" s="14" t="inlineStr">
        <is>
          <t>BILLNUM here is the credit note; RTNFROMCUST is the goods receipt</t>
        </is>
      </c>
      <c r="F37" s="14" t="inlineStr">
        <is>
          <t>Cannot compute return rate per original B2B invoice</t>
        </is>
      </c>
      <c r="G37" s="14" t="inlineStr">
        <is>
          <t>Original bill kept nullable</t>
        </is>
      </c>
      <c r="H37" s="14" t="inlineStr">
        <is>
          <t>Open - ERP team</t>
        </is>
      </c>
      <c r="I37" s="14" t="inlineStr">
        <is>
          <t>Is the original invoice number stored anywhere in this report?</t>
        </is>
      </c>
      <c r="J37" s="14" t="inlineStr">
        <is>
          <t>Low</t>
        </is>
      </c>
      <c r="K37" s="14" t="inlineStr">
        <is>
          <t>ERP team</t>
        </is>
      </c>
    </row>
    <row r="38" ht="15" customHeight="1" s="9">
      <c r="A38" s="14" t="inlineStr">
        <is>
          <t>D-037</t>
        </is>
      </c>
      <c r="B38" s="14" t="inlineStr">
        <is>
          <t>Returns</t>
        </is>
      </c>
      <c r="C38" s="14" t="inlineStr">
        <is>
          <t>WMS, Returns</t>
        </is>
      </c>
      <c r="D38" s="14" t="inlineStr">
        <is>
          <t>RTO (failed delivery) vs customer return after delivery</t>
        </is>
      </c>
      <c r="E38" s="14" t="inlineStr">
        <is>
          <t>RTO seen in WMS status; customer returns in return registers</t>
        </is>
      </c>
      <c r="F38" s="14" t="inlineStr">
        <is>
          <t>Returns mixed or missed</t>
        </is>
      </c>
      <c r="G38" s="14" t="inlineStr">
        <is>
          <t>Both kept, as separate events</t>
        </is>
      </c>
      <c r="H38" s="14" t="inlineStr">
        <is>
          <t>Resolved (business confirmed)</t>
        </is>
      </c>
      <c r="I38" s="14" t="inlineStr">
        <is>
          <t>Return registers provided</t>
        </is>
      </c>
      <c r="J38" s="14" t="inlineStr">
        <is>
          <t>Medium</t>
        </is>
      </c>
      <c r="K38" s="14" t="inlineStr">
        <is>
          <t>Data team</t>
        </is>
      </c>
    </row>
    <row r="39" ht="22.35" customHeight="1" s="9">
      <c r="A39" s="14" t="inlineStr">
        <is>
          <t>D-038</t>
        </is>
      </c>
      <c r="B39" s="14" t="inlineStr">
        <is>
          <t>Stock transfers</t>
        </is>
      </c>
      <c r="C39" s="14" t="inlineStr">
        <is>
          <t>Stock Transfer, Inward</t>
        </is>
      </c>
      <c r="D39" s="14" t="inlineStr">
        <is>
          <t>Sending / receiving location only encoded in the document number prefix</t>
        </is>
      </c>
      <c r="E39" s="14" t="inlineStr">
        <is>
          <t>Prefixes JPR/, THA/, HYD, BAG/, AMD ... ; no location column</t>
        </is>
      </c>
      <c r="F39" s="14" t="inlineStr">
        <is>
          <t>Stock movements assigned to the wrong place when a new prefix appears</t>
        </is>
      </c>
      <c r="G39" s="14" t="inlineStr">
        <is>
          <t>Interim prefix-to-location table (ref.document_prefix_location)</t>
        </is>
      </c>
      <c r="H39" s="14" t="inlineStr">
        <is>
          <t>Open - ERP team</t>
        </is>
      </c>
      <c r="I39" s="14" t="inlineStr">
        <is>
          <t>Add a branch / location column to transfer and return exports</t>
        </is>
      </c>
      <c r="J39" s="14" t="inlineStr">
        <is>
          <t>High</t>
        </is>
      </c>
      <c r="K39" s="14" t="inlineStr">
        <is>
          <t>ERP team</t>
        </is>
      </c>
    </row>
    <row r="40" ht="43.25" customHeight="1" s="9">
      <c r="A40" s="14" t="inlineStr">
        <is>
          <t>D-039</t>
        </is>
      </c>
      <c r="B40" s="14" t="inlineStr">
        <is>
          <t>Stock transfers</t>
        </is>
      </c>
      <c r="C40" s="14" t="inlineStr">
        <is>
          <t>Stock Transfer, Inward</t>
        </is>
      </c>
      <c r="D40" s="14" t="inlineStr">
        <is>
          <t>Outward stock never received</t>
        </is>
      </c>
      <c r="E40" s="14" t="inlineStr">
        <is>
          <t>31 of 622 outward documents wholly unreceived = 2,311 units (233 from Jun, 34 from May). CORRECTED total counting SKU lines, incl. partly received documents: 2,794 units in transit (built warehouse, verified independently)</t>
        </is>
      </c>
      <c r="F40" s="14" t="inlineStr">
        <is>
          <t>Stock can disappear between locations</t>
        </is>
      </c>
      <c r="G40" s="14" t="inlineStr">
        <is>
          <t>In-transit view in mart; age of unreceived transfers reported</t>
        </is>
      </c>
      <c r="H40" s="14" t="inlineStr">
        <is>
          <t>Open - ERP team</t>
        </is>
      </c>
      <c r="I40" s="14" t="inlineStr">
        <is>
          <t>Why are May/June transfers still unreceived? Are FBA receipts recorded in the ERP?
2026-10-22 (schema 2.4): split by destination. To Amazon FBA (3,350 units &gt; 60 days) is a recording gap: Amazon receives, the ERP never posts an inward (G-007). To own locations (1,441 units &gt; 60 days) are real exceptions, listed by route on the Purchasing &amp; transfers dashboard for the warehouse team.</t>
        </is>
      </c>
      <c r="J40" s="14" t="inlineStr">
        <is>
          <t>Medium</t>
        </is>
      </c>
      <c r="K40" s="14" t="inlineStr">
        <is>
          <t>ERP team</t>
        </is>
      </c>
    </row>
    <row r="41" ht="15" customHeight="1" s="9">
      <c r="A41" s="14" t="inlineStr">
        <is>
          <t>D-040</t>
        </is>
      </c>
      <c r="B41" s="14" t="inlineStr">
        <is>
          <t>Stock transfers</t>
        </is>
      </c>
      <c r="C41" s="14" t="inlineStr">
        <is>
          <t>Stock Transfer Inward</t>
        </is>
      </c>
      <c r="D41" s="14" t="inlineStr">
        <is>
          <t>Same document + SKU appears twice</t>
        </is>
      </c>
      <c r="E41" s="14" t="inlineStr">
        <is>
          <t>2 duplicate DOCNUM + PRODNUM pairs</t>
        </is>
      </c>
      <c r="F41" s="14" t="inlineStr">
        <is>
          <t>Real lines rejected as duplicates</t>
        </is>
      </c>
      <c r="G41" s="14" t="inlineStr">
        <is>
          <t>Line-occurrence counter in the key</t>
        </is>
      </c>
      <c r="H41" s="14" t="inlineStr">
        <is>
          <t>Handled in model</t>
        </is>
      </c>
      <c r="I41" s="14" t="n"/>
      <c r="J41" s="14" t="inlineStr">
        <is>
          <t>Low</t>
        </is>
      </c>
      <c r="K41" s="14" t="inlineStr">
        <is>
          <t>Data team</t>
        </is>
      </c>
    </row>
    <row r="42" ht="15" customHeight="1" s="9">
      <c r="A42" s="14" t="inlineStr">
        <is>
          <t>D-041</t>
        </is>
      </c>
      <c r="B42" s="14" t="inlineStr">
        <is>
          <t>Stock transfers</t>
        </is>
      </c>
      <c r="C42" s="14" t="inlineStr">
        <is>
          <t>Stock Transfer</t>
        </is>
      </c>
      <c r="D42" s="14" t="inlineStr">
        <is>
          <t>Outward quantities are negative</t>
        </is>
      </c>
      <c r="E42" s="14" t="inlineStr">
        <is>
          <t>All outward PRODTRANSQTY &lt; 0</t>
        </is>
      </c>
      <c r="F42" s="14" t="inlineStr">
        <is>
          <t>Signs double-flipped in sums</t>
        </is>
      </c>
      <c r="G42" s="14" t="inlineStr">
        <is>
          <t>Stored positive with a direction column</t>
        </is>
      </c>
      <c r="H42" s="14" t="inlineStr">
        <is>
          <t>Handled in model</t>
        </is>
      </c>
      <c r="I42" s="14" t="n"/>
      <c r="J42" s="14" t="inlineStr">
        <is>
          <t>Low</t>
        </is>
      </c>
      <c r="K42" s="14" t="inlineStr">
        <is>
          <t>Data team</t>
        </is>
      </c>
    </row>
    <row r="43" ht="22.35" customHeight="1" s="9">
      <c r="A43" s="14" t="inlineStr">
        <is>
          <t>D-042</t>
        </is>
      </c>
      <c r="B43" s="14" t="inlineStr">
        <is>
          <t>Stock transfers</t>
        </is>
      </c>
      <c r="C43" s="14" t="inlineStr">
        <is>
          <t>Stock Transfer, Inward</t>
        </is>
      </c>
      <c r="D43" s="14" t="inlineStr">
        <is>
          <t>Product hierarchy fields empty</t>
        </is>
      </c>
      <c r="E43" s="14" t="inlineStr">
        <is>
          <t>PRODGROUPNAME, PRODBRANDNAME, PRODMODEL, DEPARTMENTNAME 100% blank</t>
        </is>
      </c>
      <c r="F43" s="14" t="inlineStr">
        <is>
          <t>No category from these files</t>
        </is>
      </c>
      <c r="G43" s="14" t="inlineStr">
        <is>
          <t>Product attributes taken from other sources</t>
        </is>
      </c>
      <c r="H43" s="14" t="inlineStr">
        <is>
          <t>Handled in model</t>
        </is>
      </c>
      <c r="I43" s="14" t="n"/>
      <c r="J43" s="14" t="inlineStr">
        <is>
          <t>Low</t>
        </is>
      </c>
      <c r="K43" s="14" t="inlineStr">
        <is>
          <t>Data team</t>
        </is>
      </c>
    </row>
    <row r="44" ht="22.35" customHeight="1" s="9">
      <c r="A44" s="14" t="inlineStr">
        <is>
          <t>D-043</t>
        </is>
      </c>
      <c r="B44" s="14" t="inlineStr">
        <is>
          <t>Stock transfers</t>
        </is>
      </c>
      <c r="C44" s="14" t="inlineStr">
        <is>
          <t>All files</t>
        </is>
      </c>
      <c r="D44" s="14" t="inlineStr">
        <is>
          <t>Same location spelled differently across files</t>
        </is>
      </c>
      <c r="E44" s="14" t="inlineStr">
        <is>
          <t>'24 FBA WH - AMD2' vs 'Dileep Essentials Pvt Ltd Ahmedabad FBA AMD2'</t>
        </is>
      </c>
      <c r="F44" s="14" t="inlineStr">
        <is>
          <t>Joins by location fail</t>
        </is>
      </c>
      <c r="G44" s="14" t="inlineStr">
        <is>
          <t>One location code with every spelling mapped (ref.location_alias)</t>
        </is>
      </c>
      <c r="H44" s="14" t="inlineStr">
        <is>
          <t>Handled in model</t>
        </is>
      </c>
      <c r="I44" s="14" t="inlineStr">
        <is>
          <t>Mapping to be reviewed line by line (next step)</t>
        </is>
      </c>
      <c r="J44" s="14" t="inlineStr">
        <is>
          <t>High</t>
        </is>
      </c>
      <c r="K44" s="14" t="inlineStr">
        <is>
          <t>Data team</t>
        </is>
      </c>
    </row>
    <row r="45" ht="22.35" customHeight="1" s="9">
      <c r="A45" s="14" t="inlineStr">
        <is>
          <t>D-044</t>
        </is>
      </c>
      <c r="B45" s="14" t="inlineStr">
        <is>
          <t>Purchase orders</t>
        </is>
      </c>
      <c r="C45" s="14" t="inlineStr">
        <is>
          <t>Pending PO</t>
        </is>
      </c>
      <c r="D45" s="14" t="inlineStr">
        <is>
          <t>PO report contains return invoices, not only purchases</t>
        </is>
      </c>
      <c r="E45" s="14" t="inlineStr">
        <is>
          <t>Companies and own stores sending stock back raise invoices here</t>
        </is>
      </c>
      <c r="F45" s="14" t="inlineStr">
        <is>
          <t>Returns counted as purchases; lead time wrong</t>
        </is>
      </c>
      <c r="G45" s="14" t="inlineStr">
        <is>
          <t>Any counterparty not on the factory list = return-inward</t>
        </is>
      </c>
      <c r="H45" s="14" t="inlineStr">
        <is>
          <t>Open - business</t>
        </is>
      </c>
      <c r="I45" s="14" t="inlineStr">
        <is>
          <t>Rule confirmed; factory list to be supplied</t>
        </is>
      </c>
      <c r="J45" s="14" t="inlineStr">
        <is>
          <t>High</t>
        </is>
      </c>
      <c r="K45" s="14" t="inlineStr">
        <is>
          <t>Business (you)</t>
        </is>
      </c>
    </row>
    <row r="46" ht="15" customHeight="1" s="9">
      <c r="A46" s="14" t="inlineStr">
        <is>
          <t>D-045</t>
        </is>
      </c>
      <c r="B46" s="14" t="inlineStr">
        <is>
          <t>Purchase orders</t>
        </is>
      </c>
      <c r="C46" s="14" t="inlineStr">
        <is>
          <t>Pending PO</t>
        </is>
      </c>
      <c r="D46" s="14" t="inlineStr">
        <is>
          <t>Shoppers Stop appears as a PO counterparty</t>
        </is>
      </c>
      <c r="E46" s="14" t="inlineStr">
        <is>
          <t>'Shoppers Stop Limited-Vendor', 356 rows</t>
        </is>
      </c>
      <c r="F46" s="14" t="inlineStr">
        <is>
          <t>Customer mistaken for supplier</t>
        </is>
      </c>
      <c r="G46" s="14" t="inlineStr">
        <is>
          <t>Return-inward by rule</t>
        </is>
      </c>
      <c r="H46" s="14" t="inlineStr">
        <is>
          <t>Resolved (business confirmed)</t>
        </is>
      </c>
      <c r="I46" s="14" t="inlineStr">
        <is>
          <t>Returns raise an invoice in the PO list</t>
        </is>
      </c>
      <c r="J46" s="14" t="inlineStr">
        <is>
          <t>Medium</t>
        </is>
      </c>
      <c r="K46" s="14" t="inlineStr">
        <is>
          <t>Data team</t>
        </is>
      </c>
    </row>
    <row r="47" ht="15" customHeight="1" s="9">
      <c r="A47" s="14" t="inlineStr">
        <is>
          <t>D-046</t>
        </is>
      </c>
      <c r="B47" s="14" t="inlineStr">
        <is>
          <t>Purchase orders</t>
        </is>
      </c>
      <c r="C47" s="14" t="inlineStr">
        <is>
          <t>Pending PO</t>
        </is>
      </c>
      <c r="D47" s="14" t="inlineStr">
        <is>
          <t>Returned-to-supplier fields rarely filled</t>
        </is>
      </c>
      <c r="E47" s="14" t="inlineStr">
        <is>
          <t>Returned Qty / Value on 27 of 1,350 rows</t>
        </is>
      </c>
      <c r="F47" s="14" t="inlineStr">
        <is>
          <t>Supplier return rate looks lower than reality</t>
        </is>
      </c>
      <c r="G47" s="14" t="inlineStr">
        <is>
          <t>Kept as reported</t>
        </is>
      </c>
      <c r="H47" s="14" t="inlineStr">
        <is>
          <t>Handled in model</t>
        </is>
      </c>
      <c r="I47" s="14" t="n"/>
      <c r="J47" s="14" t="inlineStr">
        <is>
          <t>Low</t>
        </is>
      </c>
      <c r="K47" s="14" t="inlineStr">
        <is>
          <t>Data team</t>
        </is>
      </c>
    </row>
    <row r="48" ht="43.25" customHeight="1" s="9">
      <c r="A48" s="14" t="inlineStr">
        <is>
          <t>D-047</t>
        </is>
      </c>
      <c r="B48" s="14" t="inlineStr">
        <is>
          <t>Purchase orders</t>
        </is>
      </c>
      <c r="C48" s="14" t="inlineStr">
        <is>
          <t>Pending PO</t>
        </is>
      </c>
      <c r="D48" s="14" t="inlineStr">
        <is>
          <t>CORRECTED: one GRN per PO line was assumed; part deliveries list several receipts in ONE cell</t>
        </is>
      </c>
      <c r="E48" s="14" t="inlineStr">
        <is>
          <t>Found by the first transform run: 47 PO lines list 155 receipts in GRNNUM (e.g. 'JPR/GRN/199;305;89') with one date and one total quantity. The loader's uniqueness check could not catch it: it is one cell, not several rows</t>
        </is>
      </c>
      <c r="F48" s="14" t="inlineStr">
        <is>
          <t>Per-receipt dates and quantities unknown; supplier lead time approximate for those lines</t>
        </is>
      </c>
      <c r="G48" s="14" t="inlineStr">
        <is>
          <t>Receipt table = one row per PO line as reported, receipt numbers in a bridge, lines flagged approximate. Nothing split by guesswork</t>
        </is>
      </c>
      <c r="H48" s="14" t="inlineStr">
        <is>
          <t>Open - ERP team</t>
        </is>
      </c>
      <c r="I48" s="14" t="inlineStr">
        <is>
          <t>Can the ERP export a GRN register (one row per receipt with its own date and quantity)? Gap G-027</t>
        </is>
      </c>
      <c r="J48" s="14" t="inlineStr">
        <is>
          <t>Medium</t>
        </is>
      </c>
      <c r="K48" s="14" t="inlineStr">
        <is>
          <t>ERP team</t>
        </is>
      </c>
    </row>
    <row r="49" ht="22.35" customHeight="1" s="9">
      <c r="A49" s="14" t="inlineStr">
        <is>
          <t>D-048</t>
        </is>
      </c>
      <c r="B49" s="14" t="inlineStr">
        <is>
          <t>Inventory</t>
        </is>
      </c>
      <c r="C49" s="14" t="inlineStr">
        <is>
          <t>Inventory report (.xls)</t>
        </is>
      </c>
      <c r="D49" s="14" t="inlineStr">
        <is>
          <t>Stock report is a wide pivot, not a table</t>
        </is>
      </c>
      <c r="E49" s="14" t="inlineStr">
        <is>
          <t>38 location blocks of Qty + MRP side by side; 19 header rows</t>
        </is>
      </c>
      <c r="F49" s="14" t="inlineStr">
        <is>
          <t>Hard to load; easy to misalign columns</t>
        </is>
      </c>
      <c r="G49" s="14" t="inlineStr">
        <is>
          <t>Loader unpivots to SKU x location and checks block headers</t>
        </is>
      </c>
      <c r="H49" s="14" t="inlineStr">
        <is>
          <t>Handled in model</t>
        </is>
      </c>
      <c r="I49" s="14" t="n"/>
      <c r="J49" s="14" t="inlineStr">
        <is>
          <t>Medium</t>
        </is>
      </c>
      <c r="K49" s="14" t="inlineStr">
        <is>
          <t>Data team</t>
        </is>
      </c>
    </row>
    <row r="50" ht="22.35" customHeight="1" s="9">
      <c r="A50" s="14" t="inlineStr">
        <is>
          <t>D-049</t>
        </is>
      </c>
      <c r="B50" s="14" t="inlineStr">
        <is>
          <t>Inventory</t>
        </is>
      </c>
      <c r="C50" s="14" t="inlineStr">
        <is>
          <t>Inventory report (.xls)</t>
        </is>
      </c>
      <c r="D50" s="14" t="inlineStr">
        <is>
          <t>Report includes non-sellable items</t>
        </is>
      </c>
      <c r="E50" s="14" t="inlineStr">
        <is>
          <t>Trading 4,020; Packaging 87; Accessory 49; Stores &amp; Consumables 6</t>
        </is>
      </c>
      <c r="F50" s="14" t="inlineStr">
        <is>
          <t>Stock value and SKU counts polluted</t>
        </is>
      </c>
      <c r="G50" s="14" t="inlineStr">
        <is>
          <t>Only TRADING items count as SKUs</t>
        </is>
      </c>
      <c r="H50" s="14" t="inlineStr">
        <is>
          <t>Resolved (business confirmed)</t>
        </is>
      </c>
      <c r="I50" s="14" t="inlineStr">
        <is>
          <t>Only Trading are SKUs</t>
        </is>
      </c>
      <c r="J50" s="14" t="inlineStr">
        <is>
          <t>Medium</t>
        </is>
      </c>
      <c r="K50" s="14" t="inlineStr">
        <is>
          <t>Data team</t>
        </is>
      </c>
    </row>
    <row r="51" ht="22.35" customHeight="1" s="9">
      <c r="A51" s="14" t="inlineStr">
        <is>
          <t>D-050</t>
        </is>
      </c>
      <c r="B51" s="14" t="inlineStr">
        <is>
          <t>Inventory</t>
        </is>
      </c>
      <c r="C51" s="14" t="inlineStr">
        <is>
          <t>Inventory, Blinkit inventory</t>
        </is>
      </c>
      <c r="D51" s="14" t="inlineStr">
        <is>
          <t>Same Blinkit stock reported by the ERP and by Blinkit</t>
        </is>
      </c>
      <c r="E51" s="14" t="inlineStr">
        <is>
          <t>'27 Blinkit - Pune P2' (ERP) and 'Pune P2 - Feeder' (Blinkit)</t>
        </is>
      </c>
      <c r="F51" s="14" t="inlineStr">
        <is>
          <t>Stock double-counted</t>
        </is>
      </c>
      <c r="G51" s="14" t="inlineStr">
        <is>
          <t>Both kept; each location counted once from its system of record</t>
        </is>
      </c>
      <c r="H51" s="14" t="inlineStr">
        <is>
          <t>Open - business</t>
        </is>
      </c>
      <c r="I51" s="14" t="inlineStr">
        <is>
          <t>Which is the truth for Blinkit locations: ERP or Blinkit's report?</t>
        </is>
      </c>
      <c r="J51" s="14" t="inlineStr">
        <is>
          <t>Medium</t>
        </is>
      </c>
      <c r="K51" s="14" t="inlineStr">
        <is>
          <t>Business (you)</t>
        </is>
      </c>
    </row>
    <row r="52" ht="15" customHeight="1" s="9">
      <c r="A52" s="14" t="inlineStr">
        <is>
          <t>D-051</t>
        </is>
      </c>
      <c r="B52" s="14" t="inlineStr">
        <is>
          <t>Inventory</t>
        </is>
      </c>
      <c r="C52" s="14" t="inlineStr">
        <is>
          <t>Blinkit inventory</t>
        </is>
      </c>
      <c r="D52" s="14" t="inlineStr">
        <is>
          <t>Negative 'Net scheduled inventory' values</t>
        </is>
      </c>
      <c r="E52" s="14" t="inlineStr">
        <is>
          <t>e.g. -92, -125</t>
        </is>
      </c>
      <c r="F52" s="14" t="inlineStr">
        <is>
          <t>Wrong stock at Blinkit</t>
        </is>
      </c>
      <c r="G52" s="14" t="inlineStr">
        <is>
          <t>Stored; excluded from all stock metrics</t>
        </is>
      </c>
      <c r="H52" s="14" t="inlineStr">
        <is>
          <t>Open - business</t>
        </is>
      </c>
      <c r="I52" s="14" t="inlineStr">
        <is>
          <t>Being confirmed with Blinkit</t>
        </is>
      </c>
      <c r="J52" s="14" t="inlineStr">
        <is>
          <t>Medium</t>
        </is>
      </c>
      <c r="K52" s="14" t="inlineStr">
        <is>
          <t>Business (you)</t>
        </is>
      </c>
    </row>
    <row r="53" ht="22.35" customHeight="1" s="9">
      <c r="A53" s="14" t="inlineStr">
        <is>
          <t>D-052</t>
        </is>
      </c>
      <c r="B53" s="14" t="inlineStr">
        <is>
          <t>Inventory</t>
        </is>
      </c>
      <c r="C53" s="14" t="inlineStr">
        <is>
          <t>Amazon FBA</t>
        </is>
      </c>
      <c r="D53" s="14" t="inlineStr">
        <is>
          <t>Amazon's own FBA inventory report not provided</t>
        </is>
      </c>
      <c r="E53" s="14" t="inlineStr">
        <is>
          <t>FBA stock known only from the ERP</t>
        </is>
      </c>
      <c r="F53" s="14" t="inlineStr">
        <is>
          <t>ERP and Amazon may disagree (see unreceived FBA transfers)</t>
        </is>
      </c>
      <c r="G53" s="14" t="inlineStr">
        <is>
          <t>FBA locations use ERP until an Amazon report is added</t>
        </is>
      </c>
      <c r="H53" s="14" t="inlineStr">
        <is>
          <t>Open - business</t>
        </is>
      </c>
      <c r="I53" s="14" t="inlineStr">
        <is>
          <t>Can the Amazon FBA inventory report be exported?
2026-10-22: FBA stock on dashboards is the ERP's view only; transfers to FBA shown apart as 'receipt recorded by Amazon'.</t>
        </is>
      </c>
      <c r="J53" s="14" t="inlineStr">
        <is>
          <t>Medium</t>
        </is>
      </c>
      <c r="K53" s="14" t="inlineStr">
        <is>
          <t>Business (you)</t>
        </is>
      </c>
    </row>
    <row r="54" ht="15" customHeight="1" s="9">
      <c r="A54" s="14" t="inlineStr">
        <is>
          <t>D-053</t>
        </is>
      </c>
      <c r="B54" s="14" t="inlineStr">
        <is>
          <t>Inventory</t>
        </is>
      </c>
      <c r="C54" s="14" t="inlineStr">
        <is>
          <t>Inventory report (.xls)</t>
        </is>
      </c>
      <c r="D54" s="14" t="inlineStr">
        <is>
          <t>Product category blank in the stock report</t>
        </is>
      </c>
      <c r="E54" s="14" t="inlineStr">
        <is>
          <t>Prod Group / Category columns empty</t>
        </is>
      </c>
      <c r="F54" s="14" t="inlineStr">
        <is>
          <t>No category on stock views</t>
        </is>
      </c>
      <c r="G54" s="14" t="inlineStr">
        <is>
          <t>Category from sales and PO files</t>
        </is>
      </c>
      <c r="H54" s="14" t="inlineStr">
        <is>
          <t>Handled in model</t>
        </is>
      </c>
      <c r="I54" s="14" t="inlineStr">
        <is>
          <t>2026-10-22 (schema 2.4): categories filled from the ERP item master (Product Master List 13-10-2026) where no better source has one: products without a category 2,278 -&gt; 60. Dashboards label the rest 'Uncategorised'.</t>
        </is>
      </c>
      <c r="J54" s="14" t="inlineStr">
        <is>
          <t>Low</t>
        </is>
      </c>
      <c r="K54" s="14" t="inlineStr">
        <is>
          <t>Data team</t>
        </is>
      </c>
    </row>
    <row r="55" ht="22.35" customHeight="1" s="9">
      <c r="A55" s="14" t="inlineStr">
        <is>
          <t>D-054</t>
        </is>
      </c>
      <c r="B55" s="14" t="inlineStr">
        <is>
          <t>Product master</t>
        </is>
      </c>
      <c r="C55" s="14" t="inlineStr">
        <is>
          <t>Final Master</t>
        </is>
      </c>
      <c r="D55" s="14" t="inlineStr">
        <is>
          <t>Which SKUs are currently sold</t>
        </is>
      </c>
      <c r="E55" s="14" t="inlineStr">
        <is>
          <t>472 Continued, 3,548 Discontinued</t>
        </is>
      </c>
      <c r="F55" s="14" t="inlineStr">
        <is>
          <t>Stock AI recommends discontinued SKUs</t>
        </is>
      </c>
      <c r="G55" s="14" t="inlineStr">
        <is>
          <t>Lifecycle status from Final Master; discontinued excluded from replenishment</t>
        </is>
      </c>
      <c r="H55" s="14" t="inlineStr">
        <is>
          <t>Resolved (business confirmed)</t>
        </is>
      </c>
      <c r="I55" s="14" t="inlineStr">
        <is>
          <t>Final Master is the list of current SKUs</t>
        </is>
      </c>
      <c r="J55" s="14" t="inlineStr">
        <is>
          <t>High</t>
        </is>
      </c>
      <c r="K55" s="14" t="inlineStr">
        <is>
          <t>Data team</t>
        </is>
      </c>
    </row>
    <row r="56" ht="22.35" customHeight="1" s="9">
      <c r="A56" s="14" t="inlineStr">
        <is>
          <t>D-055</t>
        </is>
      </c>
      <c r="B56" s="14" t="inlineStr">
        <is>
          <t>Product master</t>
        </is>
      </c>
      <c r="C56" s="14" t="inlineStr">
        <is>
          <t>Final Master</t>
        </is>
      </c>
      <c r="D56" s="14" t="inlineStr">
        <is>
          <t>How current the master's status is</t>
        </is>
      </c>
      <c r="E56" s="14" t="n"/>
      <c r="F56" s="14" t="inlineStr">
        <is>
          <t>Stale status = wrong replenishment</t>
        </is>
      </c>
      <c r="G56" s="14" t="inlineStr">
        <is>
          <t>Fresh copy with every data pull; changes kept in product history</t>
        </is>
      </c>
      <c r="H56" s="14" t="inlineStr">
        <is>
          <t>Resolved (business confirmed)</t>
        </is>
      </c>
      <c r="I56" s="14" t="inlineStr">
        <is>
          <t>Updated whenever something changes</t>
        </is>
      </c>
      <c r="J56" s="14" t="inlineStr">
        <is>
          <t>Medium</t>
        </is>
      </c>
      <c r="K56" s="14" t="inlineStr">
        <is>
          <t>Data team</t>
        </is>
      </c>
    </row>
    <row r="57" ht="15" customHeight="1" s="9">
      <c r="A57" s="14" t="inlineStr">
        <is>
          <t>D-056</t>
        </is>
      </c>
      <c r="B57" s="14" t="inlineStr">
        <is>
          <t>Product master</t>
        </is>
      </c>
      <c r="C57" s="14" t="inlineStr">
        <is>
          <t>Final Master</t>
        </is>
      </c>
      <c r="D57" s="14" t="inlineStr">
        <is>
          <t>Only Sheet1 is structured</t>
        </is>
      </c>
      <c r="E57" s="14" t="inlineStr">
        <is>
          <t>Other sheets: Mastor Jan 2026, MRP to change Lot 1/2</t>
        </is>
      </c>
      <c r="F57" s="14" t="inlineStr">
        <is>
          <t>Working sheets loaded as data</t>
        </is>
      </c>
      <c r="G57" s="14" t="inlineStr">
        <is>
          <t>Only Sheet1 loaded</t>
        </is>
      </c>
      <c r="H57" s="14" t="inlineStr">
        <is>
          <t>Handled in model</t>
        </is>
      </c>
      <c r="I57" s="14" t="n"/>
      <c r="J57" s="14" t="inlineStr">
        <is>
          <t>Low</t>
        </is>
      </c>
      <c r="K57" s="14" t="inlineStr">
        <is>
          <t>Data team</t>
        </is>
      </c>
    </row>
    <row r="58" ht="22.35" customHeight="1" s="9">
      <c r="A58" s="14" t="inlineStr">
        <is>
          <t>D-057</t>
        </is>
      </c>
      <c r="B58" s="14" t="inlineStr">
        <is>
          <t>WMS dispatch</t>
        </is>
      </c>
      <c r="C58" s="14" t="inlineStr">
        <is>
          <t>WMS dispatch</t>
        </is>
      </c>
      <c r="D58" s="14" t="inlineStr">
        <is>
          <t>CORRECTION: channel is in 'Site Location', not 'Customer' (earlier misread)</t>
        </is>
      </c>
      <c r="E58" s="14" t="inlineStr">
        <is>
          <t>Customer column = placeholder 999999</t>
        </is>
      </c>
      <c r="F58" s="14" t="inlineStr">
        <is>
          <t>Channel from the wrong column</t>
        </is>
      </c>
      <c r="G58" s="14" t="inlineStr">
        <is>
          <t>Channel from Site Location</t>
        </is>
      </c>
      <c r="H58" s="14" t="inlineStr">
        <is>
          <t>Resolved (business confirmed)</t>
        </is>
      </c>
      <c r="I58" s="14" t="inlineStr">
        <is>
          <t>Corrected</t>
        </is>
      </c>
      <c r="J58" s="14" t="inlineStr">
        <is>
          <t>Medium</t>
        </is>
      </c>
      <c r="K58" s="14" t="inlineStr">
        <is>
          <t>Data team</t>
        </is>
      </c>
    </row>
    <row r="59" ht="15" customHeight="1" s="9">
      <c r="A59" s="14" t="inlineStr">
        <is>
          <t>D-058</t>
        </is>
      </c>
      <c r="B59" s="14" t="inlineStr">
        <is>
          <t>WMS dispatch</t>
        </is>
      </c>
      <c r="C59" s="14" t="inlineStr">
        <is>
          <t>WMS dispatch</t>
        </is>
      </c>
      <c r="D59" s="14" t="inlineStr">
        <is>
          <t>Which warehouse 'Warehouse' means</t>
        </is>
      </c>
      <c r="E59" s="14" t="inlineStr">
        <is>
          <t>Order Serving Location = 'Warehouse' on every row</t>
        </is>
      </c>
      <c r="F59" s="14" t="inlineStr">
        <is>
          <t>Fulfilment location unknown</t>
        </is>
      </c>
      <c r="G59" s="14" t="inlineStr">
        <is>
          <t>All shipments = Bagru warehouse</t>
        </is>
      </c>
      <c r="H59" s="14" t="inlineStr">
        <is>
          <t>Resolved (business confirmed)</t>
        </is>
      </c>
      <c r="I59" s="14" t="inlineStr">
        <is>
          <t>B2C only, all from Bagru</t>
        </is>
      </c>
      <c r="J59" s="14" t="inlineStr">
        <is>
          <t>Medium</t>
        </is>
      </c>
      <c r="K59" s="14" t="inlineStr">
        <is>
          <t>Data team</t>
        </is>
      </c>
    </row>
    <row r="60" ht="22.35" customHeight="1" s="9">
      <c r="A60" s="14" t="inlineStr">
        <is>
          <t>D-059</t>
        </is>
      </c>
      <c r="B60" s="14" t="inlineStr">
        <is>
          <t>WMS dispatch</t>
        </is>
      </c>
      <c r="C60" s="14" t="inlineStr">
        <is>
          <t>WMS dispatch</t>
        </is>
      </c>
      <c r="D60" s="14" t="inlineStr">
        <is>
          <t>Several SKUs in one cell with one combined quantity</t>
        </is>
      </c>
      <c r="E60" s="14" t="inlineStr">
        <is>
          <t>e.g. 'SWTEA1766 , WDSWA2926' with Delivery Qty 2</t>
        </is>
      </c>
      <c r="F60" s="14" t="inlineStr">
        <is>
          <t>Per-SKU quantities unknown</t>
        </is>
      </c>
      <c r="G60" s="14" t="inlineStr">
        <is>
          <t>Bridge table; per-SKU qty from the matching ERP invoice line, else left empty</t>
        </is>
      </c>
      <c r="H60" s="14" t="inlineStr">
        <is>
          <t>Handled in model</t>
        </is>
      </c>
      <c r="I60" s="14" t="inlineStr">
        <is>
          <t>Invoice match rate to be checked on the full export
2026-10-26 (schema 2.5-2.7): quantities taken from all ERP bills of the order, then two exact rules (ONE_EACH: quantity = number of SKUs; REMAINDER: the one unknown SKU gets the rest). Unallocated SKU lines 2,799 -&gt; 4; the 4 left are 2 SKUs sharing 3 units and cannot be split from the data.</t>
        </is>
      </c>
      <c r="J60" s="14" t="inlineStr">
        <is>
          <t>Medium</t>
        </is>
      </c>
      <c r="K60" s="14" t="inlineStr">
        <is>
          <t>Data team</t>
        </is>
      </c>
    </row>
    <row r="61" ht="15" customHeight="1" s="9">
      <c r="A61" s="14" t="inlineStr">
        <is>
          <t>D-060</t>
        </is>
      </c>
      <c r="B61" s="14" t="inlineStr">
        <is>
          <t>WMS dispatch</t>
        </is>
      </c>
      <c r="C61" s="14" t="inlineStr">
        <is>
          <t>WMS dispatch</t>
        </is>
      </c>
      <c r="D61" s="14" t="inlineStr">
        <is>
          <t>Long numbers exported in scientific notation</t>
        </is>
      </c>
      <c r="E61" s="14" t="inlineStr">
        <is>
          <t>Ext Manifest No '1.60396E+13'</t>
        </is>
      </c>
      <c r="F61" s="14" t="inlineStr">
        <is>
          <t>Digits permanently lost; IDs don't match</t>
        </is>
      </c>
      <c r="G61" s="14" t="inlineStr">
        <is>
          <t>All IDs loaded as text</t>
        </is>
      </c>
      <c r="H61" s="14" t="inlineStr">
        <is>
          <t>Open - ERP team</t>
        </is>
      </c>
      <c r="I61" s="14" t="inlineStr">
        <is>
          <t>Export IDs as text or the report as CSV</t>
        </is>
      </c>
      <c r="J61" s="14" t="inlineStr">
        <is>
          <t>Medium</t>
        </is>
      </c>
      <c r="K61" s="14" t="inlineStr">
        <is>
          <t>ERP team</t>
        </is>
      </c>
    </row>
    <row r="62" ht="15" customHeight="1" s="9">
      <c r="A62" s="14" t="inlineStr">
        <is>
          <t>D-061</t>
        </is>
      </c>
      <c r="B62" s="14" t="inlineStr">
        <is>
          <t>WMS dispatch</t>
        </is>
      </c>
      <c r="C62" s="14" t="inlineStr">
        <is>
          <t>WMS dispatch</t>
        </is>
      </c>
      <c r="D62" s="14" t="inlineStr">
        <is>
          <t>Dates in month/day order</t>
        </is>
      </c>
      <c r="E62" s="14" t="inlineStr">
        <is>
          <t>e.g. 4/14/2025</t>
        </is>
      </c>
      <c r="F62" s="14" t="inlineStr">
        <is>
          <t>Day and month swapped for dates up to the 12th</t>
        </is>
      </c>
      <c r="G62" s="14" t="inlineStr">
        <is>
          <t>Date format declared per source</t>
        </is>
      </c>
      <c r="H62" s="14" t="inlineStr">
        <is>
          <t>Handled in model</t>
        </is>
      </c>
      <c r="I62" s="14" t="n"/>
      <c r="J62" s="14" t="inlineStr">
        <is>
          <t>High</t>
        </is>
      </c>
      <c r="K62" s="14" t="inlineStr">
        <is>
          <t>Data team</t>
        </is>
      </c>
    </row>
    <row r="63" ht="15" customHeight="1" s="9">
      <c r="A63" s="14" t="inlineStr">
        <is>
          <t>D-062</t>
        </is>
      </c>
      <c r="B63" s="14" t="inlineStr">
        <is>
          <t>WMS dispatch</t>
        </is>
      </c>
      <c r="C63" s="14" t="inlineStr">
        <is>
          <t>WMS dispatch</t>
        </is>
      </c>
      <c r="D63" s="14" t="inlineStr">
        <is>
          <t>Status values in mixed case</t>
        </is>
      </c>
      <c r="E63" s="14" t="inlineStr">
        <is>
          <t>'Shipped', 'delivered', 'RTO Delivered'</t>
        </is>
      </c>
      <c r="F63" s="14" t="inlineStr">
        <is>
          <t>Groupings split</t>
        </is>
      </c>
      <c r="G63" s="14" t="inlineStr">
        <is>
          <t>Standardised via ref.code_mapping</t>
        </is>
      </c>
      <c r="H63" s="14" t="inlineStr">
        <is>
          <t>Handled in model</t>
        </is>
      </c>
      <c r="I63" s="14" t="n"/>
      <c r="J63" s="14" t="inlineStr">
        <is>
          <t>Low</t>
        </is>
      </c>
      <c r="K63" s="14" t="inlineStr">
        <is>
          <t>Data team</t>
        </is>
      </c>
    </row>
    <row r="64" ht="15" customHeight="1" s="9">
      <c r="A64" s="14" t="inlineStr">
        <is>
          <t>D-063</t>
        </is>
      </c>
      <c r="B64" s="14" t="inlineStr">
        <is>
          <t>WMS dispatch</t>
        </is>
      </c>
      <c r="C64" s="14" t="inlineStr">
        <is>
          <t>WMS dispatch</t>
        </is>
      </c>
      <c r="D64" s="14" t="inlineStr">
        <is>
          <t>Placeholder customer contacts</t>
        </is>
      </c>
      <c r="E64" s="14" t="inlineStr">
        <is>
          <t>9999999999, dummy@nykaa.com, 'No Address Provided'</t>
        </is>
      </c>
      <c r="F64" s="14" t="inlineStr">
        <is>
          <t>Fake data in customer analysis</t>
        </is>
      </c>
      <c r="G64" s="14" t="inlineStr">
        <is>
          <t>PII not used in core</t>
        </is>
      </c>
      <c r="H64" s="14" t="inlineStr">
        <is>
          <t>Handled in model</t>
        </is>
      </c>
      <c r="I64" s="14" t="n"/>
      <c r="J64" s="14" t="inlineStr">
        <is>
          <t>Low</t>
        </is>
      </c>
      <c r="K64" s="14" t="inlineStr">
        <is>
          <t>Data team</t>
        </is>
      </c>
    </row>
    <row r="65" ht="15" customHeight="1" s="9">
      <c r="A65" s="14" t="inlineStr">
        <is>
          <t>D-064</t>
        </is>
      </c>
      <c r="B65" s="14" t="inlineStr">
        <is>
          <t>Quick commerce</t>
        </is>
      </c>
      <c r="C65" s="14" t="inlineStr">
        <is>
          <t>Blinkit sales</t>
        </is>
      </c>
      <c r="D65" s="14" t="inlineStr">
        <is>
          <t>Which Blinkit order statuses count as sold</t>
        </is>
      </c>
      <c r="E65" s="14" t="inlineStr">
        <is>
          <t>Sample has 8 rows, all DELIVERED</t>
        </is>
      </c>
      <c r="F65" s="14" t="inlineStr">
        <is>
          <t>Demand inflated by cancelled orders</t>
        </is>
      </c>
      <c r="G65" s="14" t="inlineStr">
        <is>
          <t>Only DELIVERED counted</t>
        </is>
      </c>
      <c r="H65" s="14" t="inlineStr">
        <is>
          <t>Resolved (business confirmed)</t>
        </is>
      </c>
      <c r="I65" s="14" t="inlineStr">
        <is>
          <t>Delivered = sold</t>
        </is>
      </c>
      <c r="J65" s="14" t="inlineStr">
        <is>
          <t>Medium</t>
        </is>
      </c>
      <c r="K65" s="14" t="inlineStr">
        <is>
          <t>Data team</t>
        </is>
      </c>
    </row>
    <row r="66" ht="15" customHeight="1" s="9">
      <c r="A66" s="14" t="inlineStr">
        <is>
          <t>D-065</t>
        </is>
      </c>
      <c r="B66" s="14" t="inlineStr">
        <is>
          <t>Quick commerce</t>
        </is>
      </c>
      <c r="C66" s="14" t="inlineStr">
        <is>
          <t>Blinkit sales</t>
        </is>
      </c>
      <c r="D66" s="14" t="inlineStr">
        <is>
          <t>No store id in the Blinkit sales export</t>
        </is>
      </c>
      <c r="E66" s="14" t="inlineStr">
        <is>
          <t>Only supply / customer city</t>
        </is>
      </c>
      <c r="F66" s="14" t="inlineStr">
        <is>
          <t>No store-level demand</t>
        </is>
      </c>
      <c r="G66" s="14" t="inlineStr">
        <is>
          <t>Grain uses supply city in place of store</t>
        </is>
      </c>
      <c r="H66" s="14" t="inlineStr">
        <is>
          <t>Handled in model</t>
        </is>
      </c>
      <c r="I66" s="14" t="n"/>
      <c r="J66" s="14" t="inlineStr">
        <is>
          <t>Low</t>
        </is>
      </c>
      <c r="K66" s="14" t="inlineStr">
        <is>
          <t>Data team</t>
        </is>
      </c>
    </row>
    <row r="67" ht="15" customHeight="1" s="9">
      <c r="A67" s="14" t="inlineStr">
        <is>
          <t>D-066</t>
        </is>
      </c>
      <c r="B67" s="14" t="inlineStr">
        <is>
          <t>Quick commerce</t>
        </is>
      </c>
      <c r="C67" s="14" t="inlineStr">
        <is>
          <t>Instamart sales</t>
        </is>
      </c>
      <c r="D67" s="14" t="inlineStr">
        <is>
          <t>Brand Metrics sheet is marketing data</t>
        </is>
      </c>
      <c r="E67" s="14" t="inlineStr">
        <is>
          <t>City-level metrics, not sales lines</t>
        </is>
      </c>
      <c r="F67" s="14" t="n"/>
      <c r="G67" s="14" t="inlineStr">
        <is>
          <t>Not loaded in this phase</t>
        </is>
      </c>
      <c r="H67" s="14" t="inlineStr">
        <is>
          <t>Handled in model</t>
        </is>
      </c>
      <c r="I67" s="14" t="n"/>
      <c r="J67" s="14" t="inlineStr">
        <is>
          <t>Low</t>
        </is>
      </c>
      <c r="K67" s="14" t="inlineStr">
        <is>
          <t>Data team</t>
        </is>
      </c>
    </row>
    <row r="68" ht="32.8" customHeight="1" s="9">
      <c r="A68" s="14" t="inlineStr">
        <is>
          <t>D-067</t>
        </is>
      </c>
      <c r="B68" s="14" t="inlineStr">
        <is>
          <t>Locations</t>
        </is>
      </c>
      <c r="C68" s="14" t="inlineStr">
        <is>
          <t>Inventory, Transfers</t>
        </is>
      </c>
      <c r="D68" s="14" t="inlineStr">
        <is>
          <t>Bagru warehouse naming across files</t>
        </is>
      </c>
      <c r="E68" s="14" t="inlineStr">
        <is>
          <t>'08 Jaipur Branch' = Bagru warehouse (confirmed). Bare 'Dileep Essentials Pvt Ltd' is the same place: it is billed at 08 Jaipur Branch and uses the JPR/ transfer prefixes</t>
        </is>
      </c>
      <c r="F68" s="14" t="inlineStr">
        <is>
          <t>Bagru stock split across names</t>
        </is>
      </c>
      <c r="G68" s="14" t="inlineStr">
        <is>
          <t>All three names mapped to one location, BAGRU_WH</t>
        </is>
      </c>
      <c r="H68" s="14" t="inlineStr">
        <is>
          <t>Resolved (business confirmed)</t>
        </is>
      </c>
      <c r="I68" s="14" t="inlineStr">
        <is>
          <t>08 Jaipur Branch = Bagru warehouse</t>
        </is>
      </c>
      <c r="J68" s="14" t="inlineStr">
        <is>
          <t>Medium</t>
        </is>
      </c>
      <c r="K68" s="14" t="inlineStr">
        <is>
          <t>Data team</t>
        </is>
      </c>
    </row>
    <row r="69" ht="15" customHeight="1" s="9">
      <c r="A69" s="14" t="inlineStr">
        <is>
          <t>D-068</t>
        </is>
      </c>
      <c r="B69" s="14" t="inlineStr">
        <is>
          <t>Locations</t>
        </is>
      </c>
      <c r="C69" s="14" t="inlineStr">
        <is>
          <t>All</t>
        </is>
      </c>
      <c r="D69" s="14" t="inlineStr">
        <is>
          <t>Head office location</t>
        </is>
      </c>
      <c r="E69" s="14" t="inlineStr">
        <is>
          <t>Standalone 'Dileep Essentials Pvt Ltd' / HO</t>
        </is>
      </c>
      <c r="F69" s="14" t="n"/>
      <c r="G69" s="14" t="inlineStr">
        <is>
          <t>HEAD_OFFICE location in Bagru</t>
        </is>
      </c>
      <c r="H69" s="14" t="inlineStr">
        <is>
          <t>Resolved (business confirmed)</t>
        </is>
      </c>
      <c r="I69" s="14" t="inlineStr">
        <is>
          <t>HO is in Bagru</t>
        </is>
      </c>
      <c r="J69" s="14" t="inlineStr">
        <is>
          <t>Low</t>
        </is>
      </c>
      <c r="K69" s="14" t="inlineStr">
        <is>
          <t>Data team</t>
        </is>
      </c>
    </row>
    <row r="70" ht="15" customHeight="1" s="9">
      <c r="A70" s="14" t="inlineStr">
        <is>
          <t>D-069</t>
        </is>
      </c>
      <c r="B70" s="14" t="inlineStr">
        <is>
          <t>General</t>
        </is>
      </c>
      <c r="C70" s="14" t="inlineStr">
        <is>
          <t>All</t>
        </is>
      </c>
      <c r="D70" s="14" t="inlineStr">
        <is>
          <t>Currency and timezone never explicitly confirmed</t>
        </is>
      </c>
      <c r="E70" s="14" t="inlineStr">
        <is>
          <t>All data appears Indian (INR, IST)</t>
        </is>
      </c>
      <c r="F70" s="14" t="inlineStr">
        <is>
          <t>Wrong if any foreign-currency data exists</t>
        </is>
      </c>
      <c r="G70" s="14" t="inlineStr">
        <is>
          <t>INR and IST stored as settings</t>
        </is>
      </c>
      <c r="H70" s="14" t="inlineStr">
        <is>
          <t>Assumed - please confirm</t>
        </is>
      </c>
      <c r="I70" s="14" t="n"/>
      <c r="J70" s="14" t="inlineStr">
        <is>
          <t>Low</t>
        </is>
      </c>
      <c r="K70" s="14" t="inlineStr">
        <is>
          <t>Business (you)</t>
        </is>
      </c>
    </row>
    <row r="71" ht="22.35" customHeight="1" s="9">
      <c r="A71" s="14" t="inlineStr">
        <is>
          <t>D-070</t>
        </is>
      </c>
      <c r="B71" s="14" t="inlineStr">
        <is>
          <t>Inventory</t>
        </is>
      </c>
      <c r="C71" s="14" t="inlineStr">
        <is>
          <t>Inventory report (.xls)</t>
        </is>
      </c>
      <c r="D71" s="14" t="inlineStr">
        <is>
          <t>The stock report has a 'Total' column that is the sum of all locations</t>
        </is>
      </c>
      <c r="E71" s="14" t="inlineStr">
        <is>
          <t>Equals the sum of the 37 location columns on 100% of rows</t>
        </is>
      </c>
      <c r="F71" s="14" t="inlineStr">
        <is>
          <t>All stock counted twice if loaded as a location</t>
        </is>
      </c>
      <c r="G71" s="14" t="inlineStr">
        <is>
          <t>Loader skips the Total block and uses it only to check the unpivot is complete</t>
        </is>
      </c>
      <c r="H71" s="14" t="inlineStr">
        <is>
          <t>Handled in model</t>
        </is>
      </c>
      <c r="I71" s="14" t="n"/>
      <c r="J71" s="14" t="inlineStr">
        <is>
          <t>High</t>
        </is>
      </c>
      <c r="K71" s="14" t="inlineStr">
        <is>
          <t>Data team</t>
        </is>
      </c>
    </row>
    <row r="72" ht="32.8" customHeight="1" s="9">
      <c r="A72" s="14" t="inlineStr">
        <is>
          <t>D-071</t>
        </is>
      </c>
      <c r="B72" s="14" t="inlineStr">
        <is>
          <t>Locations</t>
        </is>
      </c>
      <c r="C72" s="14" t="inlineStr">
        <is>
          <t>Inventory report (.xls)</t>
        </is>
      </c>
      <c r="D72" s="14" t="inlineStr">
        <is>
          <t>13 ERP locations hold zero stock, incl. 7 stores with no retail invoices</t>
        </is>
      </c>
      <c r="E72" s="14" t="inlineStr">
        <is>
          <t>Stores: GK Store, Indiranagar, VR Mall, Infiniti Malad, SIB Bandra, Goa Anjuna, CG Road. Also DEPL Delhi / Lucknow / Mumbai PPOB and FBA BLR5, NAG1, DED5</t>
        </is>
      </c>
      <c r="F72" s="14" t="inlineStr">
        <is>
          <t>Closed locations clutter reports; stock appearing there later goes unnoticed</t>
        </is>
      </c>
      <c r="G72" s="14" t="inlineStr">
        <is>
          <t>Proposed inactive; any stock or sale at an inactive location raises a warning</t>
        </is>
      </c>
      <c r="H72" s="14" t="inlineStr">
        <is>
          <t>Assumed - please confirm</t>
        </is>
      </c>
      <c r="I72" s="14" t="inlineStr">
        <is>
          <t>See 'Open questions' in Reference_Mappings_Draft_v1</t>
        </is>
      </c>
      <c r="J72" s="14" t="inlineStr">
        <is>
          <t>Medium</t>
        </is>
      </c>
      <c r="K72" s="14" t="inlineStr">
        <is>
          <t>Business (you)</t>
        </is>
      </c>
    </row>
    <row r="73" ht="22.35" customHeight="1" s="9">
      <c r="A73" s="14" t="inlineStr">
        <is>
          <t>D-072</t>
        </is>
      </c>
      <c r="B73" s="14" t="inlineStr">
        <is>
          <t>Locations</t>
        </is>
      </c>
      <c r="C73" s="14" t="inlineStr">
        <is>
          <t>Stock transfers</t>
        </is>
      </c>
      <c r="D73" s="14" t="inlineStr">
        <is>
          <t>'Dileep Essentials Pvt Ltd Bagru' is a different location from the Bagru warehouse</t>
        </is>
      </c>
      <c r="E73" s="14" t="inlineStr">
        <is>
          <t>Uses transfer prefix BAG/ (2 documents); the Bagru warehouse uses JPR/</t>
        </is>
      </c>
      <c r="F73" s="14" t="inlineStr">
        <is>
          <t>Stock moved to / from it assigned to the wrong place</t>
        </is>
      </c>
      <c r="G73" s="14" t="inlineStr">
        <is>
          <t>Left unmapped (goes to Unknown) until answered</t>
        </is>
      </c>
      <c r="H73" s="14" t="inlineStr">
        <is>
          <t>Open - business</t>
        </is>
      </c>
      <c r="I73" s="14" t="inlineStr">
        <is>
          <t>Is it '08 Bagru Popup'?</t>
        </is>
      </c>
      <c r="J73" s="14" t="inlineStr">
        <is>
          <t>Medium</t>
        </is>
      </c>
      <c r="K73" s="14" t="inlineStr">
        <is>
          <t>Business (you)</t>
        </is>
      </c>
    </row>
    <row r="74" ht="22.35" customHeight="1" s="9">
      <c r="A74" s="14" t="inlineStr">
        <is>
          <t>D-073</t>
        </is>
      </c>
      <c r="B74" s="14" t="inlineStr">
        <is>
          <t>Locations</t>
        </is>
      </c>
      <c r="C74" s="14" t="inlineStr">
        <is>
          <t>Inventory report (.xls)</t>
        </is>
      </c>
      <c r="D74" s="14" t="inlineStr">
        <is>
          <t>'08 Essential - DFAL' holds stock but its purpose is unknown</t>
        </is>
      </c>
      <c r="E74" s="14" t="inlineStr">
        <is>
          <t>688 units of 15 SKUs; transfer prefixes IS/DF and RC/DF</t>
        </is>
      </c>
      <c r="F74" s="14" t="inlineStr">
        <is>
          <t>Stock counted as sellable when it may not be</t>
        </is>
      </c>
      <c r="G74" s="14" t="inlineStr">
        <is>
          <t>Proposed not sellable until confirmed</t>
        </is>
      </c>
      <c r="H74" s="14" t="inlineStr">
        <is>
          <t>Open - business</t>
        </is>
      </c>
      <c r="I74" s="14" t="inlineStr">
        <is>
          <t>What is DFAL, and is its stock sellable?</t>
        </is>
      </c>
      <c r="J74" s="14" t="inlineStr">
        <is>
          <t>Medium</t>
        </is>
      </c>
      <c r="K74" s="14" t="inlineStr">
        <is>
          <t>Business (you)</t>
        </is>
      </c>
    </row>
    <row r="75" ht="15" customHeight="1" s="9">
      <c r="A75" s="14" t="inlineStr">
        <is>
          <t>D-074</t>
        </is>
      </c>
      <c r="B75" s="14" t="inlineStr">
        <is>
          <t>Locations</t>
        </is>
      </c>
      <c r="C75" s="14" t="inlineStr">
        <is>
          <t>Inventory report (.xls)</t>
        </is>
      </c>
      <c r="D75" s="14" t="inlineStr">
        <is>
          <t>Jaipur Meeraki holds stock but has no retail invoices</t>
        </is>
      </c>
      <c r="E75" s="14" t="inlineStr">
        <is>
          <t>145 units; no Retail Sales rows Apr-Sep 2026</t>
        </is>
      </c>
      <c r="F75" s="14" t="inlineStr">
        <is>
          <t>Store type unclear (own / SIS / franchise)</t>
        </is>
      </c>
      <c r="G75" s="14" t="inlineStr">
        <is>
          <t>Proposed own store</t>
        </is>
      </c>
      <c r="H75" s="14" t="inlineStr">
        <is>
          <t>Open - business</t>
        </is>
      </c>
      <c r="I75" s="14" t="inlineStr">
        <is>
          <t>What kind of store is Meeraki?</t>
        </is>
      </c>
      <c r="J75" s="14" t="inlineStr">
        <is>
          <t>Low</t>
        </is>
      </c>
      <c r="K75" s="14" t="inlineStr">
        <is>
          <t>Business (you)</t>
        </is>
      </c>
    </row>
    <row r="76" ht="22.35" customHeight="1" s="9">
      <c r="A76" s="14" t="inlineStr">
        <is>
          <t>D-075</t>
        </is>
      </c>
      <c r="B76" s="14" t="inlineStr">
        <is>
          <t>Locations</t>
        </is>
      </c>
      <c r="C76" s="14" t="inlineStr">
        <is>
          <t>Retail Sales Return (FY25-26)</t>
        </is>
      </c>
      <c r="D76" s="14" t="inlineStr">
        <is>
          <t>Two store names don't match any ERP location</t>
        </is>
      </c>
      <c r="E76" s="14" t="inlineStr">
        <is>
          <t>'Dileep Essentials Pvt Ltd Jaipur Store' (7 returns) and 'Dileep Essentials Pvt Ltd Lucknow'</t>
        </is>
      </c>
      <c r="F76" s="14" t="inlineStr">
        <is>
          <t>Returns received at an unknown location</t>
        </is>
      </c>
      <c r="G76" s="14" t="inlineStr">
        <is>
          <t>Left unmapped until answered</t>
        </is>
      </c>
      <c r="H76" s="14" t="inlineStr">
        <is>
          <t>Open - business</t>
        </is>
      </c>
      <c r="I76" s="14" t="inlineStr">
        <is>
          <t>Which locations are these?</t>
        </is>
      </c>
      <c r="J76" s="14" t="inlineStr">
        <is>
          <t>Low</t>
        </is>
      </c>
      <c r="K76" s="14" t="inlineStr">
        <is>
          <t>Business (you)</t>
        </is>
      </c>
    </row>
    <row r="77" ht="22.35" customHeight="1" s="9">
      <c r="A77" s="14" t="inlineStr">
        <is>
          <t>D-076</t>
        </is>
      </c>
      <c r="B77" s="14" t="inlineStr">
        <is>
          <t>Retail sales</t>
        </is>
      </c>
      <c r="C77" s="14" t="inlineStr">
        <is>
          <t>Retail Sales Return (FY25-26)</t>
        </is>
      </c>
      <c r="D77" s="14" t="inlineStr">
        <is>
          <t>Channels seen only in last year's returns</t>
        </is>
      </c>
      <c r="E77" s="14" t="inlineStr">
        <is>
          <t>'Flipkart Website', 'Ellementry International', and Blinkit Mumbai / Pune contacts</t>
        </is>
      </c>
      <c r="F77" s="14" t="inlineStr">
        <is>
          <t>Channel list incomplete for FY25-26</t>
        </is>
      </c>
      <c r="G77" s="14" t="inlineStr">
        <is>
          <t>Flipkart and Blinkit mapped (proposed); Ellementry International left unmapped</t>
        </is>
      </c>
      <c r="H77" s="14" t="inlineStr">
        <is>
          <t>Open - business</t>
        </is>
      </c>
      <c r="I77" s="14" t="inlineStr">
        <is>
          <t>Which channel is 'Ellementry International'?</t>
        </is>
      </c>
      <c r="J77" s="14" t="inlineStr">
        <is>
          <t>Low</t>
        </is>
      </c>
      <c r="K77" s="14" t="inlineStr">
        <is>
          <t>Business (you)</t>
        </is>
      </c>
    </row>
    <row r="78" ht="43.25" customHeight="1" s="9">
      <c r="A78" s="14" t="inlineStr">
        <is>
          <t>D-077</t>
        </is>
      </c>
      <c r="B78" s="14" t="inlineStr">
        <is>
          <t>Returns</t>
        </is>
      </c>
      <c r="C78" s="14" t="inlineStr">
        <is>
          <t>Domestic Sale Return</t>
        </is>
      </c>
      <c r="D78" s="14" t="inlineStr">
        <is>
          <t>One credit note can cover several goods receipts with different dates</t>
        </is>
      </c>
      <c r="E78" s="14" t="inlineStr">
        <is>
          <t>RTNFROMCUST lists receipts ('JPR/GIR/3923;5011;5012') and RTNFROMCUSTDT their dates in the same order; e.g. credit note of 29-Oct-2025 for goods received 22-Nov-2024 and 22-Jan-2025</t>
        </is>
      </c>
      <c r="F78" s="14" t="inlineStr">
        <is>
          <t>'Return date' is ambiguous: sales reversal (credit note date) vs stock back in hand (receipt date)</t>
        </is>
      </c>
      <c r="G78" s="14" t="inlineStr">
        <is>
          <t>Credit-note date (BILLDATE) for net sales; receipt dates for stock timing; each receipt stored separately (bridge_return_goods_receipt)</t>
        </is>
      </c>
      <c r="H78" s="14" t="inlineStr">
        <is>
          <t>Resolved (business confirmed)</t>
        </is>
      </c>
      <c r="I78" s="14" t="inlineStr">
        <is>
          <t>Approved with Target Data Model v2 (1 Oct 2026): rule BR-023</t>
        </is>
      </c>
      <c r="J78" s="14" t="inlineStr">
        <is>
          <t>High</t>
        </is>
      </c>
      <c r="K78" s="14" t="inlineStr">
        <is>
          <t>Data team</t>
        </is>
      </c>
    </row>
    <row r="79" ht="22.35" customHeight="1" s="9">
      <c r="A79" s="14" t="inlineStr">
        <is>
          <t>D-078</t>
        </is>
      </c>
      <c r="B79" s="14" t="inlineStr">
        <is>
          <t>Returns</t>
        </is>
      </c>
      <c r="C79" s="14" t="inlineStr">
        <is>
          <t>Domestic Sale Return</t>
        </is>
      </c>
      <c r="D79" s="14" t="inlineStr">
        <is>
          <t>Receipt date list shorter than the receipt list on some credit notes</t>
        </is>
      </c>
      <c r="E79" s="14" t="inlineStr">
        <is>
          <t>e.g. 3 receipts with 2 dates; 100 receipts in the sample cannot be paired with a date</t>
        </is>
      </c>
      <c r="F79" s="14" t="inlineStr">
        <is>
          <t>Wrong receipt dates if paired by position</t>
        </is>
      </c>
      <c r="G79" s="14" t="inlineStr">
        <is>
          <t>Unpaired receipts left out of the receipts bridge; the return uses only the dates given</t>
        </is>
      </c>
      <c r="H79" s="14" t="inlineStr">
        <is>
          <t>Open - ERP team</t>
        </is>
      </c>
      <c r="I79" s="14" t="inlineStr">
        <is>
          <t>Why does the ERP drop a date when several receipts share one credit note?</t>
        </is>
      </c>
      <c r="J79" s="14" t="inlineStr">
        <is>
          <t>Low</t>
        </is>
      </c>
      <c r="K79" s="14" t="inlineStr">
        <is>
          <t>ERP team</t>
        </is>
      </c>
    </row>
    <row r="80" ht="22.35" customHeight="1" s="9">
      <c r="A80" s="14" t="inlineStr">
        <is>
          <t>D-079</t>
        </is>
      </c>
      <c r="B80" s="14" t="inlineStr">
        <is>
          <t>Returns</t>
        </is>
      </c>
      <c r="C80" s="14" t="inlineStr">
        <is>
          <t>Domestic Sale Return</t>
        </is>
      </c>
      <c r="D80" s="14" t="inlineStr">
        <is>
          <t>A return 'reason' column exists but is never filled</t>
        </is>
      </c>
      <c r="E80" s="14" t="inlineStr">
        <is>
          <t>Empty on all 5,924 rows</t>
        </is>
      </c>
      <c r="F80" s="14" t="inlineStr">
        <is>
          <t>Return reasons unknown, though the ERP can hold them</t>
        </is>
      </c>
      <c r="G80" s="14" t="inlineStr">
        <is>
          <t>Reason dimension ready; reasons load as soon as the field is filled</t>
        </is>
      </c>
      <c r="H80" s="14" t="inlineStr">
        <is>
          <t>Open - business</t>
        </is>
      </c>
      <c r="I80" s="14" t="inlineStr">
        <is>
          <t>Can the team start filling the reason when raising a credit note? Gap G-009</t>
        </is>
      </c>
      <c r="J80" s="14" t="inlineStr">
        <is>
          <t>Medium</t>
        </is>
      </c>
      <c r="K80" s="14" t="inlineStr">
        <is>
          <t>Business (you)</t>
        </is>
      </c>
    </row>
    <row r="81" ht="32.8" customHeight="1" s="9">
      <c r="A81" s="14" t="inlineStr">
        <is>
          <t>D-080</t>
        </is>
      </c>
      <c r="B81" s="14" t="inlineStr">
        <is>
          <t>Inventory</t>
        </is>
      </c>
      <c r="C81" s="14" t="inlineStr">
        <is>
          <t>Built warehouse (stock view)</t>
        </is>
      </c>
      <c r="D81" s="14" t="inlineStr">
        <is>
          <t>Stock at sale-or-return partners has no opening balance</t>
        </is>
      </c>
      <c r="E81" s="14" t="inlineStr">
        <is>
          <t>Blinkit consignment location shows -5,749 units: Kiranakart returned stock in the period that was invoiced to it before the data starts; Blinkit net sales -Rs 2.44 lakh for the same reason</t>
        </is>
      </c>
      <c r="F81" s="14" t="inlineStr">
        <is>
          <t>Partner stock understated, even negative, on dashboards</t>
        </is>
      </c>
      <c r="G81" s="14" t="inlineStr">
        <is>
          <t>The stock view labels these balances 'LEDGER: no opening balance'; nothing is clamped or hidden</t>
        </is>
      </c>
      <c r="H81" s="14" t="inlineStr">
        <is>
          <t>Open - business</t>
        </is>
      </c>
      <c r="I81" s="14" t="inlineStr">
        <is>
          <t>Can each franchise, SIS and quick-commerce partner state the stock it held on 1-Apr-2025? Gap G-028</t>
        </is>
      </c>
      <c r="J81" s="14" t="inlineStr">
        <is>
          <t>High</t>
        </is>
      </c>
      <c r="K81" s="14" t="inlineStr">
        <is>
          <t>Business (you)</t>
        </is>
      </c>
    </row>
    <row r="82" ht="22.35" customHeight="1" s="9">
      <c r="A82" s="14" t="inlineStr">
        <is>
          <t>D-081</t>
        </is>
      </c>
      <c r="B82" s="14" t="inlineStr">
        <is>
          <t>Quick commerce</t>
        </is>
      </c>
      <c r="C82" s="14" t="inlineStr">
        <is>
          <t>Instamart sales and inventory</t>
        </is>
      </c>
      <c r="D82" s="14" t="inlineStr">
        <is>
          <t>Instamart's 'Elle SKU' shows Excel's N/A lookup error where its lookup failed</t>
        </is>
      </c>
      <c r="E82" s="14" t="inlineStr">
        <is>
          <t>4 sales rows, 6 inventory rows</t>
        </is>
      </c>
      <c r="F82" s="14" t="inlineStr">
        <is>
          <t>An Excel error was briefly created as a product</t>
        </is>
      </c>
      <c r="G82" s="14" t="inlineStr">
        <is>
          <t>Excel error values are treated as 'no SKU': rows go to Unknown and are counted</t>
        </is>
      </c>
      <c r="H82" s="14" t="inlineStr">
        <is>
          <t>Handled in model</t>
        </is>
      </c>
      <c r="I82" s="14" t="n"/>
      <c r="J82" s="14" t="inlineStr">
        <is>
          <t>Low</t>
        </is>
      </c>
      <c r="K82" s="14" t="inlineStr">
        <is>
          <t>Data team</t>
        </is>
      </c>
    </row>
    <row r="83" ht="22.35" customHeight="1" s="9">
      <c r="A83" s="14" t="inlineStr">
        <is>
          <t>D-082</t>
        </is>
      </c>
      <c r="B83" s="14" t="inlineStr">
        <is>
          <t>Returns</t>
        </is>
      </c>
      <c r="C83" s="14" t="inlineStr">
        <is>
          <t>Domestic Sale Return</t>
        </is>
      </c>
      <c r="D83" s="14" t="inlineStr">
        <is>
          <t>Return date column mixes real Excel dates and typed text</t>
        </is>
      </c>
      <c r="E83" s="14" t="inlineStr">
        <is>
          <t>~90% Excel date cells, ~10% typed text 'dd/mm/yyyy;...'</t>
        </is>
      </c>
      <c r="F83" s="14" t="inlineStr">
        <is>
          <t>Only one of the two forms parsed</t>
        </is>
      </c>
      <c r="G83" s="14" t="inlineStr">
        <is>
          <t>Loader stores Excel dates as ISO text and keeps typed text unchanged; staging parses both</t>
        </is>
      </c>
      <c r="H83" s="14" t="inlineStr">
        <is>
          <t>Handled in model</t>
        </is>
      </c>
      <c r="I83" s="14" t="n"/>
      <c r="J83" s="14" t="inlineStr">
        <is>
          <t>Medium</t>
        </is>
      </c>
      <c r="K83" s="14" t="inlineStr">
        <is>
          <t>Data team</t>
        </is>
      </c>
    </row>
    <row r="84" ht="22.35" customHeight="1" s="9">
      <c r="A84" s="14" t="inlineStr">
        <is>
          <t>D-083</t>
        </is>
      </c>
      <c r="B84" s="14" t="inlineStr">
        <is>
          <t>Purchase orders</t>
        </is>
      </c>
      <c r="C84" s="14" t="inlineStr">
        <is>
          <t>Pending PO</t>
        </is>
      </c>
      <c r="D84" s="14" t="inlineStr">
        <is>
          <t>The PO export's real date is unknown</t>
        </is>
      </c>
      <c r="E84" s="14" t="inlineStr">
        <is>
          <t>File name says '12_09' but it has 77 POs opened after 12-Sep, the latest on 24-Sep, and receipts to 24-Sep</t>
        </is>
      </c>
      <c r="F84" s="14" t="inlineStr">
        <is>
          <t>PO state recorded against the wrong date; pending-PO view wrong</t>
        </is>
      </c>
      <c r="G84" s="14" t="inlineStr">
        <is>
          <t>Loader refuses a PO file whose as-of date is earlier than dates inside it
2.4: open PO lines from an export with an assumed date are labelled 'Overdue (export date assumed)' on the dashboard.</t>
        </is>
      </c>
      <c r="H84" s="14" t="inlineStr">
        <is>
          <t>Open - business</t>
        </is>
      </c>
      <c r="I84" s="14" t="inlineStr">
        <is>
          <t>On what date was this PO report exported? Please note the export date for every future PO pull</t>
        </is>
      </c>
      <c r="J84" s="14" t="inlineStr">
        <is>
          <t>Medium</t>
        </is>
      </c>
      <c r="K84" s="14" t="inlineStr">
        <is>
          <t>Business (you)</t>
        </is>
      </c>
    </row>
    <row r="85" ht="32.8" customHeight="1" s="9">
      <c r="A85" s="14" t="inlineStr">
        <is>
          <t>D-084</t>
        </is>
      </c>
      <c r="B85" s="14" t="inlineStr">
        <is>
          <t>Scope</t>
        </is>
      </c>
      <c r="C85" s="14" t="inlineStr">
        <is>
          <t>Blinkit / Instamart inventory, Final Master, PO</t>
        </is>
      </c>
      <c r="D85" s="14" t="inlineStr">
        <is>
          <t>These exports carry no date of their own</t>
        </is>
      </c>
      <c r="E85" s="14" t="inlineStr">
        <is>
          <t>File names give month only (e.g. 'sep_26') or an unclear code</t>
        </is>
      </c>
      <c r="F85" s="14" t="inlineStr">
        <is>
          <t>Snapshot loaded against the wrong day</t>
        </is>
      </c>
      <c r="G85" s="14" t="inlineStr">
        <is>
          <t>Loader requires --as-of for every snapshot, state or master file</t>
        </is>
      </c>
      <c r="H85" s="14" t="inlineStr">
        <is>
          <t>Handled in model</t>
        </is>
      </c>
      <c r="I85" s="14" t="inlineStr">
        <is>
          <t>When saving these exports, put the full export date in the file name</t>
        </is>
      </c>
      <c r="J85" s="14" t="inlineStr">
        <is>
          <t>Medium</t>
        </is>
      </c>
      <c r="K85" s="14" t="inlineStr">
        <is>
          <t>Business (you)</t>
        </is>
      </c>
    </row>
    <row r="86" ht="32.8" customHeight="1" s="9">
      <c r="A86" s="14" t="inlineStr">
        <is>
          <t>D-085</t>
        </is>
      </c>
      <c r="B86" s="14" t="inlineStr">
        <is>
          <t>Inventory</t>
        </is>
      </c>
      <c r="C86" s="14" t="inlineStr">
        <is>
          <t>Inventory report (.xls)</t>
        </is>
      </c>
      <c r="D86" s="14" t="inlineStr">
        <is>
          <t>7 locations are selected in the report filter but have no column</t>
        </is>
      </c>
      <c r="E86" s="14" t="inlineStr">
        <is>
          <t>Head Office, 08 Repair and Damage, 08 Offline - WH, 07 FBA WH - DED1, 27 FBA WH - ISK3, 08 Jaipur - Mansarovar, 29 FBA WH - BLX9. 13 other zero-stock locations DO get a column</t>
        </is>
      </c>
      <c r="F86" s="14" t="inlineStr">
        <is>
          <t>Stock at these locations (e.g. damaged stock) may be missing from the report</t>
        </is>
      </c>
      <c r="G86" s="14" t="inlineStr">
        <is>
          <t>Loader compares filter vs columns on every load and records a warning; locations added to the mapping as proposals</t>
        </is>
      </c>
      <c r="H86" s="14" t="inlineStr">
        <is>
          <t>Open - ERP team</t>
        </is>
      </c>
      <c r="I86" s="14" t="inlineStr">
        <is>
          <t>Why do these 7 have no column? Does Repair and Damage hold stock?
2026-10-22: still missing in the 15-Sep report (Head Office, Repair &amp; Damage, Offline WH, FBA DED1, FBA ISK3, FBA BLX9, Jaipur Mansarovar).</t>
        </is>
      </c>
      <c r="J86" s="14" t="inlineStr">
        <is>
          <t>Medium</t>
        </is>
      </c>
      <c r="K86" s="14" t="inlineStr">
        <is>
          <t>ERP team</t>
        </is>
      </c>
    </row>
    <row r="87" ht="22.35" customHeight="1" s="9">
      <c r="A87" s="14" t="inlineStr">
        <is>
          <t>D-086</t>
        </is>
      </c>
      <c r="B87" s="14" t="inlineStr">
        <is>
          <t>Inventory</t>
        </is>
      </c>
      <c r="C87" s="14" t="inlineStr">
        <is>
          <t>Inventory report (.xls)</t>
        </is>
      </c>
      <c r="D87" s="14" t="inlineStr">
        <is>
          <t>Report ends with a grand-total row</t>
        </is>
      </c>
      <c r="E87" s="14" t="inlineStr">
        <is>
          <t>Per-location totals in Indian number format, e.g. '1,12,92,483.18'</t>
        </is>
      </c>
      <c r="F87" s="14" t="inlineStr">
        <is>
          <t>Footer loaded as a product row</t>
        </is>
      </c>
      <c r="G87" s="14" t="inlineStr">
        <is>
          <t>Every location column must add up to its footer total, and every row to its Total column, or the whole file is rejected</t>
        </is>
      </c>
      <c r="H87" s="14" t="inlineStr">
        <is>
          <t>Handled in model</t>
        </is>
      </c>
      <c r="I87" s="14" t="n"/>
      <c r="J87" s="14" t="inlineStr">
        <is>
          <t>Medium</t>
        </is>
      </c>
      <c r="K87" s="14" t="inlineStr">
        <is>
          <t>Data team</t>
        </is>
      </c>
    </row>
    <row r="88" ht="22.35" customHeight="1" s="9">
      <c r="A88" s="14" t="inlineStr">
        <is>
          <t>D-087</t>
        </is>
      </c>
      <c r="B88" s="14" t="inlineStr">
        <is>
          <t>Product master</t>
        </is>
      </c>
      <c r="C88" s="14" t="inlineStr">
        <is>
          <t>Final Master</t>
        </is>
      </c>
      <c r="D88" s="14" t="inlineStr">
        <is>
          <t>Sheet1 also contains a full copy of stock columns</t>
        </is>
      </c>
      <c r="E88" s="14" t="inlineStr">
        <is>
          <t>After Prod Num/Status/Name/Type/Unit come stock blocks laid out like the stock report</t>
        </is>
      </c>
      <c r="F88" s="14" t="inlineStr">
        <is>
          <t>Stale stock read as current inventory</t>
        </is>
      </c>
      <c r="G88" s="14" t="inlineStr">
        <is>
          <t>Only the 5 product columns are loaded; the stock copy is ignored by design</t>
        </is>
      </c>
      <c r="H88" s="14" t="inlineStr">
        <is>
          <t>Handled in model</t>
        </is>
      </c>
      <c r="I88" s="14" t="n"/>
      <c r="J88" s="14" t="inlineStr">
        <is>
          <t>Medium</t>
        </is>
      </c>
      <c r="K88" s="14" t="inlineStr">
        <is>
          <t>Data team</t>
        </is>
      </c>
    </row>
    <row r="89" ht="22.35" customHeight="1" s="9">
      <c r="A89" s="14" t="inlineStr">
        <is>
          <t>D-088</t>
        </is>
      </c>
      <c r="B89" s="14" t="inlineStr">
        <is>
          <t>Quick commerce</t>
        </is>
      </c>
      <c r="C89" s="14" t="inlineStr">
        <is>
          <t>Instamart sales, Blinkit inventory</t>
        </is>
      </c>
      <c r="D89" s="14" t="inlineStr">
        <is>
          <t>Columns without a header</t>
        </is>
      </c>
      <c r="E89" s="14" t="inlineStr">
        <is>
          <t>Instamart: a 0,1,2... row counter; Blinkit: every value '--'</t>
        </is>
      </c>
      <c r="F89" s="14" t="inlineStr">
        <is>
          <t>Real data dropped if an unnamed column ever holds some</t>
        </is>
      </c>
      <c r="G89" s="14" t="inlineStr">
        <is>
          <t>Dropped only after checking they are exactly a counter / only '--'; otherwise the file is rejected</t>
        </is>
      </c>
      <c r="H89" s="14" t="inlineStr">
        <is>
          <t>Handled in model</t>
        </is>
      </c>
      <c r="I89" s="14" t="n"/>
      <c r="J89" s="14" t="inlineStr">
        <is>
          <t>Low</t>
        </is>
      </c>
      <c r="K89" s="14" t="inlineStr">
        <is>
          <t>Data team</t>
        </is>
      </c>
    </row>
    <row r="90" ht="32.8" customHeight="1" s="9">
      <c r="A90" s="14" t="inlineStr">
        <is>
          <t>D-089</t>
        </is>
      </c>
      <c r="B90" s="14" t="inlineStr">
        <is>
          <t>Returns</t>
        </is>
      </c>
      <c r="C90" s="14" t="inlineStr">
        <is>
          <t>Pending PO, Domestic Sale Return</t>
        </is>
      </c>
      <c r="D90" s="14" t="inlineStr">
        <is>
          <t>Shoppers Stop returns appear on two routes</t>
        </is>
      </c>
      <c r="E90" s="14" t="inlineStr">
        <is>
          <t>PO report: 316 return-inward receipt lines (563 units); Domestic Sale Return: 68 credit-note lines (95 units); only 3 pairs match on SKU, quantity and date</t>
        </is>
      </c>
      <c r="F90" s="14" t="inlineStr">
        <is>
          <t>If both record the same goods, the stock ledger counts the return twice</t>
        </is>
      </c>
      <c r="G90" s="14" t="inlineStr">
        <is>
          <t>No return-inward movements are created until the factory list arrives and this is answered</t>
        </is>
      </c>
      <c r="H90" s="14" t="inlineStr">
        <is>
          <t>Open - business</t>
        </is>
      </c>
      <c r="I90" s="14" t="inlineStr">
        <is>
          <t>Are these two different return routes, or the same goods recorded twice?</t>
        </is>
      </c>
      <c r="J90" s="14" t="inlineStr">
        <is>
          <t>High</t>
        </is>
      </c>
      <c r="K90" s="14" t="inlineStr">
        <is>
          <t>Business (you)</t>
        </is>
      </c>
    </row>
    <row r="91" ht="22.35" customHeight="1" s="9">
      <c r="A91" s="14" t="inlineStr">
        <is>
          <t>D-090</t>
        </is>
      </c>
      <c r="B91" s="14" t="inlineStr">
        <is>
          <t>Domestic sales</t>
        </is>
      </c>
      <c r="C91" s="14" t="inlineStr">
        <is>
          <t>Domestic Sale Return (FY25-26)</t>
        </is>
      </c>
      <c r="D91" s="14" t="inlineStr">
        <is>
          <t>'DILEEP ESSENTIALS INC' appears as a return counterparty</t>
        </is>
      </c>
      <c r="E91" s="14" t="inlineStr">
        <is>
          <t>1 row</t>
        </is>
      </c>
      <c r="F91" s="14" t="inlineStr">
        <is>
          <t>Unclear whether it is a group export entity</t>
        </is>
      </c>
      <c r="G91" s="14" t="inlineStr">
        <is>
          <t>Listed as UNCLASSIFIED so it is never classified by elimination</t>
        </is>
      </c>
      <c r="H91" s="14" t="inlineStr">
        <is>
          <t>Open - business</t>
        </is>
      </c>
      <c r="I91" s="14" t="inlineStr">
        <is>
          <t>What is Dileep Essentials Inc?</t>
        </is>
      </c>
      <c r="J91" s="14" t="inlineStr">
        <is>
          <t>Low</t>
        </is>
      </c>
      <c r="K91" s="14" t="inlineStr">
        <is>
          <t>Business (you)</t>
        </is>
      </c>
    </row>
    <row r="92" ht="32.8" customHeight="1" s="9">
      <c r="A92" s="14" t="inlineStr">
        <is>
          <t>D-091</t>
        </is>
      </c>
      <c r="B92" s="14" t="inlineStr">
        <is>
          <t>Domestic sales</t>
        </is>
      </c>
      <c r="C92" s="14" t="inlineStr">
        <is>
          <t>Domestic Sales, PO</t>
        </is>
      </c>
      <c r="D92" s="14" t="inlineStr">
        <is>
          <t>Classification by elimination is unsafe until the partner list is complete</t>
        </is>
      </c>
      <c r="E92" s="14" t="inlineStr">
        <is>
          <t>Until the franchise / SIS / quick-commerce and factory names arrive, every unlisted company would become an employee (domestic) or a return-inward (PO)</t>
        </is>
      </c>
      <c r="F92" s="14" t="inlineStr">
        <is>
          <t>Real revenue silently treated as internal stock</t>
        </is>
      </c>
      <c r="G92" s="14" t="inlineStr">
        <is>
          <t>Safety switch partner_list_complete = false: unlisted names stay UNCLASSIFIED until the business confirms the list is complete</t>
        </is>
      </c>
      <c r="H92" s="14" t="inlineStr">
        <is>
          <t>Handled in model</t>
        </is>
      </c>
      <c r="I92" s="14" t="n"/>
      <c r="J92" s="14" t="inlineStr">
        <is>
          <t>High</t>
        </is>
      </c>
      <c r="K92" s="14" t="inlineStr">
        <is>
          <t>Data team</t>
        </is>
      </c>
    </row>
    <row r="93" ht="32.8" customHeight="1" s="9">
      <c r="A93" s="14" t="inlineStr">
        <is>
          <t>D-092</t>
        </is>
      </c>
      <c r="B93" s="14" t="inlineStr">
        <is>
          <t>Quick commerce</t>
        </is>
      </c>
      <c r="C93" s="14" t="inlineStr">
        <is>
          <t>Domestic Sales / Returns, Stock Transfers</t>
        </is>
      </c>
      <c r="D93" s="14" t="inlineStr">
        <is>
          <t>Two possible supply routes to Blinkit</t>
        </is>
      </c>
      <c r="E93" s="14" t="inlineStr">
        <is>
          <t>Kiranakart (Blinkit) appears on domestic credit notes, while stock also reaches Blinkit feeder locations by ERP stock transfer</t>
        </is>
      </c>
      <c r="F93" s="14" t="inlineStr">
        <is>
          <t>Blinkit stock split across two pools or counted twice</t>
        </is>
      </c>
      <c r="G93" s="14" t="inlineStr">
        <is>
          <t>Kept as two locations: Blinkit consignment stock (invoiced) and the Blinkit feeder locations (transferred)</t>
        </is>
      </c>
      <c r="H93" s="14" t="inlineStr">
        <is>
          <t>Open - business</t>
        </is>
      </c>
      <c r="I93" s="14" t="inlineStr">
        <is>
          <t>Is Blinkit supplied by invoice, by stock transfer, or did it change over time?</t>
        </is>
      </c>
      <c r="J93" s="14" t="inlineStr">
        <is>
          <t>Medium</t>
        </is>
      </c>
      <c r="K93" s="14" t="inlineStr">
        <is>
          <t>Business (you)</t>
        </is>
      </c>
    </row>
    <row r="94" ht="22.35" customHeight="1" s="9">
      <c r="A94" s="14" t="inlineStr">
        <is>
          <t>D-093</t>
        </is>
      </c>
      <c r="B94" s="14" t="inlineStr">
        <is>
          <t>Stock transfers</t>
        </is>
      </c>
      <c r="C94" s="14" t="inlineStr">
        <is>
          <t>Stock Transfer Inward</t>
        </is>
      </c>
      <c r="D94" s="14" t="inlineStr">
        <is>
          <t>Inward prefix 'STK' is shared by two receiving locations</t>
        </is>
      </c>
      <c r="E94" s="14" t="inlineStr">
        <is>
          <t>Used for both AMD2 (20 documents) and LKO1 (1)</t>
        </is>
      </c>
      <c r="F94" s="14" t="inlineStr">
        <is>
          <t>Receipts assigned to the wrong location</t>
        </is>
      </c>
      <c r="G94" s="14" t="inlineStr">
        <is>
          <t>Receiver taken from the linked outward document, not from the prefix</t>
        </is>
      </c>
      <c r="H94" s="14" t="inlineStr">
        <is>
          <t>Handled in model</t>
        </is>
      </c>
      <c r="I94" s="14" t="n"/>
      <c r="J94" s="14" t="inlineStr">
        <is>
          <t>Medium</t>
        </is>
      </c>
      <c r="K94" s="14" t="inlineStr">
        <is>
          <t>Data team</t>
        </is>
      </c>
    </row>
    <row r="95" ht="22.35" customHeight="1" s="9">
      <c r="A95" s="14" t="inlineStr">
        <is>
          <t>D-094</t>
        </is>
      </c>
      <c r="B95" s="14" t="inlineStr">
        <is>
          <t>Purchase orders</t>
        </is>
      </c>
      <c r="C95" s="14" t="inlineStr">
        <is>
          <t>Pending Purchase Order 25-26 12.22; Pending Purchase Order 26-27 12.09 (2)</t>
        </is>
      </c>
      <c r="D95" s="14" t="inlineStr">
        <is>
          <t>Export date of both PO files is unknown ('12.22' and '12.09' in the file names: time or date unclear)</t>
        </is>
      </c>
      <c r="E95" s="14" t="inlineStr">
        <is>
          <t>File names end '12.22' and '12.09'; the sheets have no title row (header on row 1). PO Open Date in the 26-27 file runs to 24-Sep-2026.</t>
        </is>
      </c>
      <c r="F95" s="14" t="inlineStr">
        <is>
          <t>The PO table keeps each line's latest status, so a wrong as-of date can roll a line's status back</t>
        </is>
      </c>
      <c r="G95" s="14" t="inlineStr">
        <is>
          <t>Loader requires --as-of for ERP_PURCHASE_ORDER; PO loading is blocked until the date is given
2.4: meta.load_batch.as_of_is_assumed; the dashboard labels overdue days from the FY 25-26 export as 'export date assumed'.</t>
        </is>
      </c>
      <c r="H95" s="14" t="inlineStr">
        <is>
          <t>Open - business</t>
        </is>
      </c>
      <c r="I95" s="14" t="inlineStr">
        <is>
          <t>Needs the business and the ERP team to state the export date (and time) of each PO file</t>
        </is>
      </c>
      <c r="J95" s="14" t="inlineStr">
        <is>
          <t>High</t>
        </is>
      </c>
      <c r="K95" s="14" t="inlineStr">
        <is>
          <t>Business (you)</t>
        </is>
      </c>
    </row>
    <row r="96" ht="22.35" customHeight="1" s="9">
      <c r="A96" s="14" t="inlineStr">
        <is>
          <t>D-095</t>
        </is>
      </c>
      <c r="B96" s="14" t="inlineStr">
        <is>
          <t>Inventory</t>
        </is>
      </c>
      <c r="C96" s="14" t="inlineStr">
        <is>
          <t>ERP stock report (Inventory report)</t>
        </is>
      </c>
      <c r="D96" s="14" t="inlineStr">
        <is>
          <t>Stock 'as on 31-03-2025' not yet requested; rule BR-021 ('stock history cannot be re-pulled') is out of date for ERP locations</t>
        </is>
      </c>
      <c r="E96" s="14" t="inlineStr">
        <is>
          <t>Business states the ERP can produce the stock report for any past date. BR-021 is ACTIVE in meta_business_rule and is referenced by meta_column_rule and meta_source_note; D-004 also says history cannot be pulled.</t>
        </is>
      </c>
      <c r="F96" s="14" t="inlineStr">
        <is>
          <t>No opening balances for the stock ledger; the warehouse would keep a rule that is no longer true for ERP locations</t>
        </is>
      </c>
      <c r="G96" s="14" t="inlineStr">
        <is>
          <t>Request the report as on 31-03-2025 and confirm it is CLOSING stock. BR-021 to be retired and replaced (decision pending; rule seeds not edited)</t>
        </is>
      </c>
      <c r="H96" s="14" t="inlineStr">
        <is>
          <t>Open - ERP team</t>
        </is>
      </c>
      <c r="I96" s="14" t="n"/>
      <c r="J96" s="14" t="inlineStr">
        <is>
          <t>High</t>
        </is>
      </c>
      <c r="K96" s="14" t="inlineStr">
        <is>
          <t>ERP team</t>
        </is>
      </c>
    </row>
    <row r="97" ht="22.35" customHeight="1" s="9">
      <c r="A97" s="14" t="inlineStr">
        <is>
          <t>D-096</t>
        </is>
      </c>
      <c r="B97" s="14" t="inlineStr">
        <is>
          <t>Quick commerce</t>
        </is>
      </c>
      <c r="C97" s="14" t="inlineStr">
        <is>
          <t>Blinkit and Instamart stock reports</t>
        </is>
      </c>
      <c r="D97" s="14" t="inlineStr">
        <is>
          <t>Blinkit and Instamart stock at 15-Sep-2026 cannot be re-fetched; only current-day stock is available</t>
        </is>
      </c>
      <c r="E97" s="14" t="inlineStr">
        <is>
          <t>Business confirmed: the platforms show only current-day stock</t>
        </is>
      </c>
      <c r="F97" s="14" t="inlineStr">
        <is>
          <t>No stock position at the 15-Sep-2026 period end for quick-commerce locations</t>
        </is>
      </c>
      <c r="G97" s="14" t="inlineStr">
        <is>
          <t>Known gap recorded in the file manifest (status GAP); no BLINKIT_INVENTORY or INSTAMART_INVENTORY file for the period</t>
        </is>
      </c>
      <c r="H97" s="14" t="inlineStr">
        <is>
          <t>Resolved (business confirmed)</t>
        </is>
      </c>
      <c r="I97" s="14" t="inlineStr">
        <is>
          <t>Accepted gap</t>
        </is>
      </c>
      <c r="J97" s="14" t="inlineStr">
        <is>
          <t>Medium</t>
        </is>
      </c>
      <c r="K97" s="14" t="inlineStr">
        <is>
          <t>Business (you)</t>
        </is>
      </c>
    </row>
    <row r="98" ht="22.35" customHeight="1" s="9">
      <c r="A98" s="14" t="inlineStr">
        <is>
          <t>D-097</t>
        </is>
      </c>
      <c r="B98" s="14" t="inlineStr">
        <is>
          <t>Quick commerce</t>
        </is>
      </c>
      <c r="C98" s="14" t="inlineStr">
        <is>
          <t>Blinkit all time sales Data; Instamart sales</t>
        </is>
      </c>
      <c r="D98" s="14" t="inlineStr">
        <is>
          <t>Blinkit and Instamart sales history is a manually assembled workbook and cannot be re-fetched month by month</t>
        </is>
      </c>
      <c r="E98" s="14" t="inlineStr">
        <is>
          <t>Blinkit: 15 monthly sheets with changing columns and date formats. Instamart: 18 monthly sheets, 4 without a header row, 1 month with rows from the next month.</t>
        </is>
      </c>
      <c r="F98" s="14" t="inlineStr">
        <is>
          <t>Files do not match the loader contracts as they are</t>
        </is>
      </c>
      <c r="G98" s="14" t="inlineStr">
        <is>
          <t>Keep the original workbooks untouched; load script-cleaned monthly files; every cleaning decision recorded in CLEANING_PLAN.md</t>
        </is>
      </c>
      <c r="H98" s="14" t="inlineStr">
        <is>
          <t>Resolved (business confirmed)</t>
        </is>
      </c>
      <c r="I98" s="14" t="inlineStr">
        <is>
          <t>Decision: originals untouched; cleaned monthly files loaded; cleaning rules still to be confirmed in CLEANING_PLAN.md</t>
        </is>
      </c>
      <c r="J98" s="14" t="inlineStr">
        <is>
          <t>High</t>
        </is>
      </c>
      <c r="K98" s="14" t="inlineStr">
        <is>
          <t>Data team</t>
        </is>
      </c>
    </row>
    <row r="99" ht="22.35" customHeight="1" s="9">
      <c r="A99" s="14" t="inlineStr">
        <is>
          <t>D-098</t>
        </is>
      </c>
      <c r="B99" s="14" t="inlineStr">
        <is>
          <t>Domestic sales</t>
        </is>
      </c>
      <c r="C99" s="14" t="inlineStr">
        <is>
          <t>Domestic Sales 01-04-2025 to 31-03-2026; Domestic Sales 01-04-2026 to 15-09-2026 (1)</t>
        </is>
      </c>
      <c r="D99" s="14" t="inlineStr">
        <is>
          <t>DOCID is a 19-digit number stored as a number, so its last digits cannot be exact</t>
        </is>
      </c>
      <c r="E99" s="14" t="inlineStr">
        <is>
          <t>All 25,863 DOCID values (20,612 + 5,251) are 19 digits and stored as floating-point numbers (about 15-16 digits are exact)</t>
        </is>
      </c>
      <c r="F99" s="14" t="inlineStr">
        <is>
          <t>DOCID cannot be used as a reliable key</t>
        </is>
      </c>
      <c r="G99" s="14" t="inlineStr">
        <is>
          <t>DOCID is kept in the raw layer only; not used by the warehouse</t>
        </is>
      </c>
      <c r="H99" s="14" t="inlineStr">
        <is>
          <t>Open - ERP team</t>
        </is>
      </c>
      <c r="I99" s="14" t="inlineStr">
        <is>
          <t>Ask the ERP team for a text export when convenient</t>
        </is>
      </c>
      <c r="J99" s="14" t="inlineStr">
        <is>
          <t>Low</t>
        </is>
      </c>
      <c r="K99" s="14" t="inlineStr">
        <is>
          <t>ERP team</t>
        </is>
      </c>
    </row>
    <row r="100" ht="22.35" customHeight="1" s="9">
      <c r="A100" s="14" t="inlineStr">
        <is>
          <t>D-099</t>
        </is>
      </c>
      <c r="B100" s="14" t="inlineStr">
        <is>
          <t>WMS dispatch</t>
        </is>
      </c>
      <c r="C100" s="14" t="inlineStr">
        <is>
          <t>Dispatch order report 1 Apr.2025 to 15 Sep.2026 (1)</t>
        </is>
      </c>
      <c r="D100" s="14" t="inlineStr">
        <is>
          <t>Dispatch file is .xlsm and Order Date is a real Excel date, but the draft WMS_DISPATCH contract expects text</t>
        </is>
      </c>
      <c r="E100" s="14" t="inlineStr">
        <is>
          <t>Loader reads only .xlsx, .xls and .csv; contract status is 'draft' and was built from a pasted column list (Order Date format text_mdy_time)</t>
        </is>
      </c>
      <c r="F100" s="14" t="inlineStr">
        <is>
          <t>File cannot be loaded as it is</t>
        </is>
      </c>
      <c r="G100" s="14" t="inlineStr">
        <is>
          <t>Contract to be corrected against the real file before loading</t>
        </is>
      </c>
      <c r="H100" s="14" t="inlineStr">
        <is>
          <t>Handled in model</t>
        </is>
      </c>
      <c r="I100" s="14" t="inlineStr">
        <is>
          <t>Ask Operations to export future dispatch reports as CSV with ID columns as text
2026-10-22: contract verified against the full .xlsm export; dates read as real Excel date-times.</t>
        </is>
      </c>
      <c r="J100" s="14" t="inlineStr">
        <is>
          <t>Medium</t>
        </is>
      </c>
      <c r="K100" s="14" t="inlineStr">
        <is>
          <t>Business (you)</t>
        </is>
      </c>
    </row>
    <row r="101" ht="22.35" customHeight="1" s="9">
      <c r="A101" s="14" t="inlineStr">
        <is>
          <t>D-100</t>
        </is>
      </c>
      <c r="B101" s="14" t="inlineStr">
        <is>
          <t>Purchase orders</t>
        </is>
      </c>
      <c r="C101" s="14" t="inlineStr">
        <is>
          <t>Pending Purchase Order 25-26 12.22; Pending Purchase Order 26-27 12.09 (2)</t>
        </is>
      </c>
      <c r="D101" s="14" t="inlineStr">
        <is>
          <t>PO reports now have an extra column 'Document Remark' (38 columns; contract has 37)</t>
        </is>
      </c>
      <c r="E101" s="14" t="inlineStr">
        <is>
          <t>Both PO files have the 37 contract columns plus Document Remark; the ERP_PURCHASE_ORDER contract requires an exact column set</t>
        </is>
      </c>
      <c r="F101" s="14" t="inlineStr">
        <is>
          <t>Loader would reject the PO files until the contract records the new column</t>
        </is>
      </c>
      <c r="G101" s="14" t="inlineStr">
        <is>
          <t>Proposed: record Document Remark in the ERP_PURCHASE_ORDER contract (contract update needed)</t>
        </is>
      </c>
      <c r="H101" s="14" t="inlineStr">
        <is>
          <t>Assumed - please confirm</t>
        </is>
      </c>
      <c r="I101" s="14" t="inlineStr">
        <is>
          <t>2026-10-22 (schema 2.3): column loaded as document_type; it decides nothing until rule BR-031 is confirmed (switch po_document_remark_confirmed). Dashboards filter on it, labelled as the export's own remark.</t>
        </is>
      </c>
      <c r="J101" s="14" t="inlineStr">
        <is>
          <t>Medium</t>
        </is>
      </c>
      <c r="K101" s="14" t="inlineStr">
        <is>
          <t>Data team</t>
        </is>
      </c>
    </row>
    <row r="102" ht="22.35" customHeight="1" s="9">
      <c r="A102" s="14" t="inlineStr">
        <is>
          <t>D-101</t>
        </is>
      </c>
      <c r="B102" s="14" t="inlineStr">
        <is>
          <t>Product master</t>
        </is>
      </c>
      <c r="C102" s="14" t="inlineStr">
        <is>
          <t>Ellementry Final Mastor - 2026 september updated</t>
        </is>
      </c>
      <c r="D102" s="14" t="inlineStr">
        <is>
          <t>The first Final Master copy supplied lacked Sheet1</t>
        </is>
      </c>
      <c r="E102" s="14" t="inlineStr">
        <is>
          <t>First copy (sha256 e7f9ff8b...) had sheets Mastor - Jan 2026, MRP to change Lot 2, MRP to change Lot 1 and no Sheet1</t>
        </is>
      </c>
      <c r="F102" s="14" t="inlineStr">
        <is>
          <t>PRODUCT_MASTER could not be loaded from that copy</t>
        </is>
      </c>
      <c r="G102" s="14" t="inlineStr">
        <is>
          <t>Original supplied: Sheet1 starts with Prod Num, Status, Prod Name, Prod Type, Unit (sha256 f3abe9ce...)</t>
        </is>
      </c>
      <c r="H102" s="14" t="inlineStr">
        <is>
          <t>Resolved (business confirmed)</t>
        </is>
      </c>
      <c r="I102" s="14" t="inlineStr">
        <is>
          <t>Original file supplied</t>
        </is>
      </c>
      <c r="J102" s="14" t="inlineStr">
        <is>
          <t>Medium</t>
        </is>
      </c>
      <c r="K102" s="14" t="inlineStr">
        <is>
          <t>Business (you)</t>
        </is>
      </c>
    </row>
    <row r="103" ht="22.35" customHeight="1" s="9">
      <c r="A103" s="14" t="inlineStr">
        <is>
          <t>D-102</t>
        </is>
      </c>
      <c r="B103" s="14" t="inlineStr">
        <is>
          <t>General</t>
        </is>
      </c>
      <c r="C103" s="14" t="inlineStr">
        <is>
          <t>Warehouse build (ellementry_dw v2.2)</t>
        </is>
      </c>
      <c r="D103" s="14" t="inlineStr">
        <is>
          <t>Warehouse is to run on PostgreSQL 18; it was tested on PostgreSQL 16</t>
        </is>
      </c>
      <c r="E103" s="14" t="inlineStr">
        <is>
          <t>Package tested on 16; production target is 18</t>
        </is>
      </c>
      <c r="F103" s="14" t="inlineStr">
        <is>
          <t>A difference between versions could break a script or a test</t>
        </is>
      </c>
      <c r="G103" s="14" t="inlineStr">
        <is>
          <t>To be confirmed by the test run in Phase 2</t>
        </is>
      </c>
      <c r="H103" s="14" t="inlineStr">
        <is>
          <t>Resolved (business confirmed)</t>
        </is>
      </c>
      <c r="I103" s="14" t="inlineStr">
        <is>
          <t>Confirmed: 78/78 schema tests (tests/test_schema.sql) and 63/63 pytest (49 loader, 6 seed, 8 transform; 0 skipped) on PostgreSQL 18.6 + Python 3.13.15, 2026-10-16</t>
        </is>
      </c>
      <c r="J103" s="14" t="inlineStr">
        <is>
          <t>Medium</t>
        </is>
      </c>
      <c r="K103" s="14" t="inlineStr">
        <is>
          <t>Data team</t>
        </is>
      </c>
    </row>
    <row r="104" ht="22.35" customHeight="1" s="9">
      <c r="A104" s="14" t="inlineStr">
        <is>
          <t>D-103</t>
        </is>
      </c>
      <c r="B104" s="14" t="inlineStr">
        <is>
          <t>Product master</t>
        </is>
      </c>
      <c r="C104" s="14" t="inlineStr">
        <is>
          <t>Ellementry Final Mastor - 2026 september updated</t>
        </is>
      </c>
      <c r="D104" s="14" t="inlineStr">
        <is>
          <t>Final Master as-of date not stated in the file</t>
        </is>
      </c>
      <c r="E104" s="14" t="inlineStr">
        <is>
          <t>File metadata (docProps/core.xml): modified 2026-09-25T09:22:05Z, created 2026-02-06T11:10:55Z</t>
        </is>
      </c>
      <c r="F104" s="14" t="inlineStr">
        <is>
          <t>Loader requires --as-of for PRODUCT_MASTER; a wrong date mis-times SKU status (Continued / Discontinued)</t>
        </is>
      </c>
      <c r="G104" s="14" t="inlineStr">
        <is>
          <t>as_of_date 2026-09-25 used in MANIFEST.tsv, assumed from file metadata</t>
        </is>
      </c>
      <c r="H104" s="14" t="inlineStr">
        <is>
          <t>Assumed - please confirm</t>
        </is>
      </c>
      <c r="I104" s="14" t="n"/>
      <c r="J104" s="14" t="inlineStr">
        <is>
          <t>Medium</t>
        </is>
      </c>
      <c r="K104" s="14" t="inlineStr">
        <is>
          <t>Business (you)</t>
        </is>
      </c>
    </row>
    <row r="105" ht="22.35" customHeight="1" s="9">
      <c r="A105" s="14" t="inlineStr">
        <is>
          <t>D-104</t>
        </is>
      </c>
      <c r="B105" s="14" t="inlineStr">
        <is>
          <t>General</t>
        </is>
      </c>
      <c r="C105" s="14" t="inlineStr">
        <is>
          <t>Warehouse build (ellementry_dw v2.2)</t>
        </is>
      </c>
      <c r="D105" s="14" t="inlineStr">
        <is>
          <t>Python 3.13 used instead of the preferred 3.12</t>
        </is>
      </c>
      <c r="E105" s="14" t="inlineStr">
        <is>
          <t>Only Python 3.13.15 is installed on the build PC; .venv created with 3.13. requirements.txt pins only psycopg, openpyxl and xlrd; pandas (&gt;=2.2) installed 3.0.6 and pytest (&gt;=8) installed 9.1.1</t>
        </is>
      </c>
      <c r="F105" s="14" t="inlineStr">
        <is>
          <t>A library or test could behave differently on 3.13 or on unpinned new major versions</t>
        </is>
      </c>
      <c r="G105" s="14" t="inlineStr">
        <is>
          <t>After the tests pass: propose pinning requirements.txt to the exact installed versions as a separate commit</t>
        </is>
      </c>
      <c r="H105" s="14" t="inlineStr">
        <is>
          <t>Resolved (business confirmed)</t>
        </is>
      </c>
      <c r="I105" s="14" t="inlineStr">
        <is>
          <t>Confirmed: 78/78 schema tests (tests/test_schema.sql) and 63/63 pytest (49 loader, 6 seed, 8 transform; 0 skipped) on PostgreSQL 18.6 + Python 3.13.15, 2026-10-16; requirements.txt pinned to the tested versions (commit 3ae9cea)</t>
        </is>
      </c>
      <c r="J105" s="14" t="inlineStr">
        <is>
          <t>Medium</t>
        </is>
      </c>
      <c r="K105" s="14" t="inlineStr">
        <is>
          <t>Data team</t>
        </is>
      </c>
    </row>
    <row r="106" ht="22.35" customHeight="1" s="9">
      <c r="A106" s="14" t="inlineStr">
        <is>
          <t>D-105</t>
        </is>
      </c>
      <c r="B106" s="14" t="inlineStr">
        <is>
          <t>Returns</t>
        </is>
      </c>
      <c r="C106" s="14" t="inlineStr">
        <is>
          <t>484681020741.csv (Amazon customer returns report)</t>
        </is>
      </c>
      <c r="D106" s="14" t="inlineStr">
        <is>
          <t>Amazon FBA customer returns report found; candidate source that may close gap G-009 (return reasons)</t>
        </is>
      </c>
      <c r="E106" s="14" t="inlineStr">
        <is>
          <t>CSV, 12 columns incl. return-date, order-id, sku, asin, reason, detailed-disposition, customer-comments; 3,499 rows, return-date 2025-04-01 to 2026-09-14. G-009 (OPEN) names marketplace return reports as a way to fill return reasons</t>
        </is>
      </c>
      <c r="F106" s="14" t="inlineStr">
        <is>
          <t>Return reasons stay unknown for Amazon returns; the free-text customer-comments column may hold personal data</t>
        </is>
      </c>
      <c r="G106" s="14" t="inlineStr">
        <is>
          <t>Not a registered source; stored in C:\ellementry_data\full\_UNREGISTERED\AMAZON_CUSTOMER_RETURNS\ and listed in MANIFEST.tsv as UNREGISTERED. Registering it needs a contract and a decision on customer-comments (exclude or restrict)</t>
        </is>
      </c>
      <c r="H106" s="14" t="inlineStr">
        <is>
          <t>Open - business</t>
        </is>
      </c>
      <c r="I106" s="14" t="n"/>
      <c r="J106" s="14" t="inlineStr">
        <is>
          <t>Medium</t>
        </is>
      </c>
      <c r="K106" s="14" t="inlineStr">
        <is>
          <t>Business (you)</t>
        </is>
      </c>
    </row>
    <row r="107" ht="22.35" customHeight="1" s="9">
      <c r="A107" s="14" t="inlineStr">
        <is>
          <t>D-106</t>
        </is>
      </c>
      <c r="B107" s="14" t="inlineStr">
        <is>
          <t>Inventory</t>
        </is>
      </c>
      <c r="C107" s="14" t="inlineStr">
        <is>
          <t>Blinkit inventory sep 26; Instamart inventory 26 sep 26; Ellementry Final Mastor - 2026 september updated</t>
        </is>
      </c>
      <c r="D107" s="14" t="inlineStr">
        <is>
          <t>As-of dates of snapshot / master files assumed from file save times</t>
        </is>
      </c>
      <c r="E107" s="14" t="inlineStr">
        <is>
          <t>Blinkit inventory: last saved 2026-09-25T10:08:47Z (15:38 IST); tests/sample_manifest.tsv said 2026-09-26. Instamart inventory: last saved 2026-09-26T06:03:19Z (11:33 IST), matches 2026-09-26. Final Master: last saved 2026-09-25T09:22:05Z; 2026-09-15 in sample_manifest was a placeholder (owner)</t>
        </is>
      </c>
      <c r="F107" s="14" t="inlineStr">
        <is>
          <t>Loader requires --as-of; a wrong date places stock or SKU status on the wrong day</t>
        </is>
      </c>
      <c r="G107" s="14" t="inlineStr">
        <is>
          <t>MANIFEST.tsv as_of_date: Blinkit inventory 2026-09-25, Instamart inventory 2026-09-26, Final Master 2026-09-25 (stock files show stock at download time)</t>
        </is>
      </c>
      <c r="H107" s="14" t="inlineStr">
        <is>
          <t>Assumed - please confirm</t>
        </is>
      </c>
      <c r="I107" s="14" t="n"/>
      <c r="J107" s="14" t="inlineStr">
        <is>
          <t>Medium</t>
        </is>
      </c>
      <c r="K107" s="14" t="inlineStr">
        <is>
          <t>Business (you)</t>
        </is>
      </c>
    </row>
    <row r="108" ht="22.35" customHeight="1" s="9">
      <c r="A108" s="14" t="inlineStr">
        <is>
          <t>D-107</t>
        </is>
      </c>
      <c r="B108" s="14" t="inlineStr">
        <is>
          <t>General</t>
        </is>
      </c>
      <c r="C108" s="14" t="inlineStr">
        <is>
          <t>PostgreSQL server (localhost:5432)</t>
        </is>
      </c>
      <c r="D108" s="14" t="inlineStr">
        <is>
          <t>A database named ellementry_dw already exists on the server; it belongs to the other model's prototype</t>
        </is>
      </c>
      <c r="E108" s="14" t="inlineStr">
        <is>
          <t>ellementry_dw: owner postgres, 14 MB, warehouse schemas plus an 'app' schema (5 tables); prototype roles ellementry_app and ellementry_metrics exist; prototype scripts/setup_warehouse.sh defaults to ellementry_dw</t>
        </is>
      </c>
      <c r="F108" s="14" t="inlineStr">
        <is>
          <t>Building our warehouse under the same name would collide with, or overwrite, the prototype's database</t>
        </is>
      </c>
      <c r="G108" s="14" t="inlineStr">
        <is>
          <t>Our warehouse database is ellementry_warehouse (PGDATABASE in ~/.bashrc); ellementry_dw left untouched</t>
        </is>
      </c>
      <c r="H108" s="14" t="inlineStr">
        <is>
          <t>Resolved (business confirmed)</t>
        </is>
      </c>
      <c r="I108" s="14" t="inlineStr">
        <is>
          <t>Decision: keep ellementry_dw for the prototype evaluation; our warehouse = ellementry_warehouse</t>
        </is>
      </c>
      <c r="J108" s="14" t="inlineStr">
        <is>
          <t>Medium</t>
        </is>
      </c>
      <c r="K108" s="14" t="inlineStr">
        <is>
          <t>Business (you)</t>
        </is>
      </c>
    </row>
    <row r="109" ht="22.35" customHeight="1" s="9">
      <c r="A109" s="14" t="inlineStr">
        <is>
          <t>D-108</t>
        </is>
      </c>
      <c r="B109" s="14" t="inlineStr">
        <is>
          <t>Retail sales</t>
        </is>
      </c>
      <c r="C109" s="14" t="inlineStr">
        <is>
          <t>Retail Sales 01-04-2026 to 15-09-2026 (sample build dw_transform_test)</t>
        </is>
      </c>
      <c r="D109" s="14" t="inlineStr">
        <is>
          <t>Control total Rs 4,22,80,208.54 was mislabelled 'retail net sales' in earlier notes</t>
        </is>
      </c>
      <c r="E109" s="14" t="inlineStr">
        <is>
          <t>Rs 4,22,80,208.54 = sum(core.fact_sales_line.net_sales_amount) for ERP_RETAIL_SALES = retail INVOICED sales excluding GST, before returns (sample period Apr-Sep 2026). Net of retail returns dated Apr-Sep 2026 = Rs 3,69,30,320.14</t>
        </is>
      </c>
      <c r="F109" s="14" t="inlineStr">
        <is>
          <t>A total labelled 'net' could be read as net of returns and compared wrongly</t>
        </is>
      </c>
      <c r="G109" s="14" t="inlineStr">
        <is>
          <t>Label corrected: invoiced sales excl. GST, before returns. Corrected in PRD-001</t>
        </is>
      </c>
      <c r="H109" s="14" t="inlineStr">
        <is>
          <t>Resolved (business confirmed)</t>
        </is>
      </c>
      <c r="I109" s="14" t="inlineStr">
        <is>
          <t>Rs 4,22,80,208.54 is retail INVOICED sales excluding GST, before returns (sample period Apr-Sep 2026); net of returns dated Apr-Sep 2026 = Rs 3,69,30,320.14. Corrected in PRD-001</t>
        </is>
      </c>
      <c r="J109" s="14" t="inlineStr">
        <is>
          <t>Medium</t>
        </is>
      </c>
      <c r="K109" s="14" t="inlineStr">
        <is>
          <t>Business (you)</t>
        </is>
      </c>
    </row>
    <row r="110">
      <c r="A110" s="14" t="inlineStr">
        <is>
          <t>D-109</t>
        </is>
      </c>
      <c r="B110" s="14" t="inlineStr">
        <is>
          <t>WMS dispatch</t>
        </is>
      </c>
      <c r="C110" s="14" t="inlineStr">
        <is>
          <t>Dispatch order report (WMS)</t>
        </is>
      </c>
      <c r="D110" s="14" t="inlineStr">
        <is>
          <t>WMS Invoice No for marketplace orders (M25-, M26-, M44-...) never matches an ERP bill</t>
        </is>
      </c>
      <c r="E110" s="14" t="inlineStr">
        <is>
          <t>20,353 of 45,246 deliveries unmatched; website orders matched 100%. The same orders carry the marketplace order ID in Extern Order No, which equals the ERP ORDER_NUMBER</t>
        </is>
      </c>
      <c r="F110" s="14" t="inlineStr">
        <is>
          <t>Deliveries cannot be tied to sale value, order, channel or per-SKU quantities</t>
        </is>
      </c>
      <c r="G110" s="14" t="inlineStr">
        <is>
          <t>Schema 2.5: link by Invoice No, else Extern Order No = bill order number, else Tracking No = bill AWB. Linked 24,893 -&gt; 45,171 of 45,246</t>
        </is>
      </c>
      <c r="H110" s="14" t="inlineStr">
        <is>
          <t>Handled in model</t>
        </is>
      </c>
      <c r="I110" s="14" t="inlineStr">
        <is>
          <t>The M-series are the marketplaces' own invoice numbers (accounts may confirm; nothing depends on it now)</t>
        </is>
      </c>
      <c r="J110" s="14" t="inlineStr">
        <is>
          <t>High</t>
        </is>
      </c>
      <c r="K110" s="14" t="inlineStr">
        <is>
          <t>Data team</t>
        </is>
      </c>
    </row>
    <row r="111">
      <c r="A111" s="14" t="inlineStr">
        <is>
          <t>D-110</t>
        </is>
      </c>
      <c r="B111" s="14" t="inlineStr">
        <is>
          <t>Retail sales</t>
        </is>
      </c>
      <c r="C111" s="14" t="inlineStr">
        <is>
          <t>Retail Sales exports (both FY)</t>
        </is>
      </c>
      <c r="D111" s="14" t="inlineStr">
        <is>
          <t>ERP bill numbers restart every April (IN-1 exists in FY 25-26 and FY 26-27)</t>
        </is>
      </c>
      <c r="E111" s="14" t="inlineStr">
        <is>
          <t>1,911 FY 25-26 bills share a number with an FY 26-27 bill; 2,086 lines, Rs 26.1 lakh excl. GST (Apr-Jul 2025) were dropped because staging kept the newest file per bill number. reconcile.py used the same key, so its 28/28 missed it</t>
        </is>
      </c>
      <c r="F111" s="14" t="inlineStr">
        <is>
          <t>Retail sales understated by Rs 26.1 lakh; last-year comparisons wrong; returns and deliveries linked to the wrong bill</t>
        </is>
      </c>
      <c r="G111" s="14" t="inlineStr">
        <is>
          <t>Schema 2.6: a bill is its number within a financial year (bill_fy_start in the line identity); returns link to the latest bill of that number on or before the return; reconcile.py uses the same key</t>
        </is>
      </c>
      <c r="H111" s="14" t="inlineStr">
        <is>
          <t>Handled in model</t>
        </is>
      </c>
      <c r="I111" s="14" t="inlineStr">
        <is>
          <t>Fixed 2026-10-26. Retail sales Apr 2025 - Sep 2026: Rs 13.66 Cr -&gt; Rs 13.92 Cr; reconciles 28/28</t>
        </is>
      </c>
      <c r="J111" s="14" t="inlineStr">
        <is>
          <t>High</t>
        </is>
      </c>
      <c r="K111" s="14" t="inlineStr">
        <is>
          <t>Data team</t>
        </is>
      </c>
    </row>
    <row r="112">
      <c r="A112" s="14" t="inlineStr">
        <is>
          <t>D-111</t>
        </is>
      </c>
      <c r="B112" s="14" t="inlineStr">
        <is>
          <t>WMS dispatch</t>
        </is>
      </c>
      <c r="C112" s="14" t="inlineStr">
        <is>
          <t>Dispatch order report (WMS)</t>
        </is>
      </c>
      <c r="D112" s="14" t="inlineStr">
        <is>
          <t>39 courier spellings for about 10 companies (Delhivery 13 ways, Bluedart 6, Ekart 4; codes ATS, XC, DL, DE_*, BD_*, EK_*)</t>
        </is>
      </c>
      <c r="E112" s="14" t="inlineStr">
        <is>
          <t>Transporter / Ext Transporter Name columns</t>
        </is>
      </c>
      <c r="F112" s="14" t="inlineStr">
        <is>
          <t>Courier comparisons split one company across many rows</t>
        </is>
      </c>
      <c r="G112" s="14" t="inlineStr">
        <is>
          <t>Schema 2.4: ref.code_mapping COURIER -&gt; courier_group. Codes mapped from evidence (ATS = Amazon Shipping, Amazon only; XC = Xpressbees, AWBs start 1413; DL/DE = Delhivery; BD = Blue Dart; EK = Ekart)</t>
        </is>
      </c>
      <c r="H112" s="14" t="inlineStr">
        <is>
          <t>Assumed - please confirm</t>
        </is>
      </c>
      <c r="I112" s="14" t="inlineStr">
        <is>
          <t>All mappings is_confirmed = false: please confirm the codes in the reference-mappings workbook</t>
        </is>
      </c>
      <c r="J112" s="14" t="inlineStr">
        <is>
          <t>Low</t>
        </is>
      </c>
      <c r="K112" s="14" t="inlineStr">
        <is>
          <t>Business (you)</t>
        </is>
      </c>
    </row>
    <row r="113">
      <c r="A113" s="14" t="inlineStr">
        <is>
          <t>D-112</t>
        </is>
      </c>
      <c r="B113" s="14" t="inlineStr">
        <is>
          <t>WMS dispatch</t>
        </is>
      </c>
      <c r="C113" s="14" t="inlineStr">
        <is>
          <t>Dispatch order report (WMS)</t>
        </is>
      </c>
      <c r="D113" s="14" t="inlineStr">
        <is>
          <t>RTO is recorded only for website orders</t>
        </is>
      </c>
      <c r="E113" s="14" t="inlineStr">
        <is>
          <t>1,945 RTO deliveries, all website (7.9%); Amazon 3 of 9,482, others 0. Marketplace returns-to-origin are handled by the marketplace</t>
        </is>
      </c>
      <c r="F113" s="14" t="inlineStr">
        <is>
          <t>An all-channel RTO rate (4.3%) understates the real rate and shows marketplaces as perfect</t>
        </is>
      </c>
      <c r="G113" s="14" t="inlineStr">
        <is>
          <t>Schema 2.4: is_rto_tracked per channel (RTO on at least 1% of deliveries); the RTO metric uses tracked channels only; others show blank, not 0</t>
        </is>
      </c>
      <c r="H113" s="14" t="inlineStr">
        <is>
          <t>Open - business</t>
        </is>
      </c>
      <c r="I113" s="14" t="inlineStr">
        <is>
          <t>Need marketplace RTO / returns reports from each seller panel</t>
        </is>
      </c>
      <c r="J113" s="14" t="inlineStr">
        <is>
          <t>Medium</t>
        </is>
      </c>
      <c r="K113" s="14" t="inlineStr">
        <is>
          <t>Business (you)</t>
        </is>
      </c>
    </row>
    <row r="114">
      <c r="A114" s="14" t="inlineStr">
        <is>
          <t>D-113</t>
        </is>
      </c>
      <c r="B114" s="14" t="inlineStr">
        <is>
          <t>WMS dispatch</t>
        </is>
      </c>
      <c r="C114" s="14" t="inlineStr">
        <is>
          <t>Dispatch order report (WMS)</t>
        </is>
      </c>
      <c r="D114" s="14" t="inlineStr">
        <is>
          <t>No delivery dates for Nykaa, FNP and Flipkart</t>
        </is>
      </c>
      <c r="E114" s="14" t="inlineStr">
        <is>
          <t>Nykaa 2,701 of 2,784 stuck at SHIPPED; FNP and Flipkart all</t>
        </is>
      </c>
      <c r="F114" s="14" t="inlineStr">
        <is>
          <t>Delivery time and late-delivery measures wrong for these channels</t>
        </is>
      </c>
      <c r="G114" s="14" t="inlineStr">
        <is>
          <t>Schema 2.4: is_delivery_tracked per channel (delivery date on at least half the shipped); delivery time uses tracked channels only</t>
        </is>
      </c>
      <c r="H114" s="14" t="inlineStr">
        <is>
          <t>Open - business</t>
        </is>
      </c>
      <c r="I114" s="14" t="inlineStr">
        <is>
          <t>Need delivery reports from these marketplaces, or WMS courier tracking for them</t>
        </is>
      </c>
      <c r="J114" s="14" t="inlineStr">
        <is>
          <t>Medium</t>
        </is>
      </c>
      <c r="K114" s="14" t="inlineStr">
        <is>
          <t>Business (you)</t>
        </is>
      </c>
    </row>
    <row r="115">
      <c r="A115" s="14" t="inlineStr">
        <is>
          <t>D-114</t>
        </is>
      </c>
      <c r="B115" s="14" t="inlineStr">
        <is>
          <t>WMS dispatch</t>
        </is>
      </c>
      <c r="C115" s="14" t="inlineStr">
        <is>
          <t>Dispatch order report (WMS)</t>
        </is>
      </c>
      <c r="D115" s="14" t="inlineStr">
        <is>
          <t>Weight over 100 kg on 85 deliveries (max 265,650)</t>
        </is>
      </c>
      <c r="E115" s="14" t="inlineStr">
        <is>
          <t>Weight column; likely grams typed as kg</t>
        </is>
      </c>
      <c r="F115" s="14" t="inlineStr">
        <is>
          <t>Any weight or freight figure would be wildly wrong</t>
        </is>
      </c>
      <c r="G115" s="14" t="inlineStr">
        <is>
          <t>Schema 2.4: weights over 100 kg left out of v_fulfilment; WARN check shipment_weight_suspect</t>
        </is>
      </c>
      <c r="H115" s="14" t="inlineStr">
        <is>
          <t>Handled in model</t>
        </is>
      </c>
      <c r="I115" s="14" t="n"/>
      <c r="J115" s="14" t="inlineStr">
        <is>
          <t>Low</t>
        </is>
      </c>
      <c r="K115" s="14" t="inlineStr">
        <is>
          <t>Data team</t>
        </is>
      </c>
    </row>
    <row r="116">
      <c r="A116" s="14" t="inlineStr">
        <is>
          <t>D-115</t>
        </is>
      </c>
      <c r="B116" s="14" t="inlineStr">
        <is>
          <t>WMS dispatch</t>
        </is>
      </c>
      <c r="C116" s="14" t="inlineStr">
        <is>
          <t>Dispatch order report (WMS)</t>
        </is>
      </c>
      <c r="D116" s="14" t="inlineStr">
        <is>
          <t>Site Location 'Ellementry International' maps to no channel</t>
        </is>
      </c>
      <c r="E116" s="14" t="inlineStr">
        <is>
          <t>4 deliveries</t>
        </is>
      </c>
      <c r="F116" s="14" t="inlineStr">
        <is>
          <t>These deliveries show as channel Unknown</t>
        </is>
      </c>
      <c r="G116" s="14" t="inlineStr">
        <is>
          <t>Left as Unknown; never guessed</t>
        </is>
      </c>
      <c r="H116" s="14" t="inlineStr">
        <is>
          <t>Open - business</t>
        </is>
      </c>
      <c r="I116" s="14" t="inlineStr">
        <is>
          <t>Which channel is 'Ellementry International'?</t>
        </is>
      </c>
      <c r="J116" s="14" t="inlineStr">
        <is>
          <t>Low</t>
        </is>
      </c>
      <c r="K116" s="14" t="inlineStr">
        <is>
          <t>Business (you)</t>
        </is>
      </c>
    </row>
    <row r="117">
      <c r="A117" s="14" t="inlineStr">
        <is>
          <t>D-116</t>
        </is>
      </c>
      <c r="B117" s="14" t="inlineStr">
        <is>
          <t>Inventory</t>
        </is>
      </c>
      <c r="C117" s="14" t="inlineStr">
        <is>
          <t>Inventory report 15 Sept.xls; Product Master List</t>
        </is>
      </c>
      <c r="D117" s="14" t="inlineStr">
        <is>
          <t>103 trading SKUs have no MRP in any source (mostly discontinued)</t>
        </is>
      </c>
      <c r="E117" s="14" t="inlineStr">
        <is>
          <t>14,474 units; stock report Active MRP blank/0, item master MRP blank, never on a retail invoice</t>
        </is>
      </c>
      <c r="F117" s="14" t="inlineStr">
        <is>
          <t>Stock value at MRP understated</t>
        </is>
      </c>
      <c r="G117" s="14" t="inlineStr">
        <is>
          <t>Schema 2.4: stock_value_mrp is NULL (not 0) for these; dashboard tile 'Units with no MRP'</t>
        </is>
      </c>
      <c r="H117" s="14" t="inlineStr">
        <is>
          <t>Open - business</t>
        </is>
      </c>
      <c r="I117" s="14" t="inlineStr">
        <is>
          <t>Need MRPs for the 103 SKUs (merchandising / ERP)</t>
        </is>
      </c>
      <c r="J117" s="14" t="inlineStr">
        <is>
          <t>Medium</t>
        </is>
      </c>
      <c r="K117" s="14" t="inlineStr">
        <is>
          <t>Business (you)</t>
        </is>
      </c>
    </row>
    <row r="118">
      <c r="A118" s="14" t="inlineStr">
        <is>
          <t>D-117</t>
        </is>
      </c>
      <c r="B118" s="14" t="inlineStr">
        <is>
          <t>Inventory</t>
        </is>
      </c>
      <c r="C118" s="14" t="inlineStr">
        <is>
          <t>Inventory report 15 Sept.xls</t>
        </is>
      </c>
      <c r="D118" s="14" t="inlineStr">
        <is>
          <t>Active MRP for the same SKU differs between locations</t>
        </is>
      </c>
      <c r="E118" s="14" t="inlineStr">
        <is>
          <t>828 SKUs with stock; in 730 the higher MRP is only at locations with zero stock (mostly Jaipur Meeraki, Jaipur Branch, CG Road). List: reports/S2_mrp_differences_by_location.csv</t>
        </is>
      </c>
      <c r="F118" s="14" t="inlineStr">
        <is>
          <t>Stock value Rs 14.80 Cr at the highest MRP vs Rs 14.46 Cr at each location's own MRP (about Rs 34 lakh)</t>
        </is>
      </c>
      <c r="G118" s="14" t="inlineStr">
        <is>
          <t>Warehouse takes the highest Active MRP per SKU from the report</t>
        </is>
      </c>
      <c r="H118" s="14" t="inlineStr">
        <is>
          <t>Open - business</t>
        </is>
      </c>
      <c r="I118" s="14" t="inlineStr">
        <is>
          <t>Finance: which MRP is correct, and should stock be valued at one MRP per SKU or each location's own?</t>
        </is>
      </c>
      <c r="J118" s="14" t="inlineStr">
        <is>
          <t>Medium</t>
        </is>
      </c>
      <c r="K118" s="14" t="inlineStr">
        <is>
          <t>Business (you)</t>
        </is>
      </c>
    </row>
    <row r="119">
      <c r="A119" s="14" t="inlineStr">
        <is>
          <t>D-118</t>
        </is>
      </c>
      <c r="B119" s="14" t="inlineStr">
        <is>
          <t>Inventory</t>
        </is>
      </c>
      <c r="C119" s="14" t="inlineStr">
        <is>
          <t>Inventory report 15 Sept.xls</t>
        </is>
      </c>
      <c r="D119" s="14" t="inlineStr">
        <is>
          <t>Negative stock in the ERP report</t>
        </is>
      </c>
      <c r="E119" s="14" t="inlineStr">
        <is>
          <t>Jaipur C-Scheme -10, Bangalore 7 -2 units</t>
        </is>
      </c>
      <c r="F119" s="14" t="inlineStr">
        <is>
          <t>Stock totals slightly off; signals booking errors</t>
        </is>
      </c>
      <c r="G119" s="14" t="inlineStr">
        <is>
          <t>Shown as reported; WARN check negative_stock</t>
        </is>
      </c>
      <c r="H119" s="14" t="inlineStr">
        <is>
          <t>Open - ERP team</t>
        </is>
      </c>
      <c r="I119" s="14" t="inlineStr">
        <is>
          <t>ERP stock correction at the two stores</t>
        </is>
      </c>
      <c r="J119" s="14" t="inlineStr">
        <is>
          <t>Low</t>
        </is>
      </c>
      <c r="K119" s="14" t="inlineStr">
        <is>
          <t>ERP team</t>
        </is>
      </c>
    </row>
    <row r="120">
      <c r="A120" s="14" t="inlineStr">
        <is>
          <t>D-119</t>
        </is>
      </c>
      <c r="B120" s="14" t="inlineStr">
        <is>
          <t>Inventory</t>
        </is>
      </c>
      <c r="C120" s="14" t="inlineStr">
        <is>
          <t>Transfers + sales files</t>
        </is>
      </c>
      <c r="D120" s="14" t="inlineStr">
        <is>
          <t>Days of cover ignored stock leaving by transfer</t>
        </is>
      </c>
      <c r="E120" s="14" t="inlineStr">
        <is>
          <t>Bagru feeds stores and FBA mostly by transfer</t>
        </is>
      </c>
      <c r="F120" s="14" t="inlineStr">
        <is>
          <t>Bagru looked like years of cover</t>
        </is>
      </c>
      <c r="G120" s="14" t="inlineStr">
        <is>
          <t>Schema 2.4: cover = sellable / (sales + transfers out) per day over 30 days</t>
        </is>
      </c>
      <c r="H120" s="14" t="inlineStr">
        <is>
          <t>Handled in model</t>
        </is>
      </c>
      <c r="I120" s="14" t="n"/>
      <c r="J120" s="14" t="inlineStr">
        <is>
          <t>Low</t>
        </is>
      </c>
      <c r="K120" s="14" t="inlineStr">
        <is>
          <t>Data team</t>
        </is>
      </c>
    </row>
    <row r="121">
      <c r="A121" s="14" t="inlineStr">
        <is>
          <t>D-120</t>
        </is>
      </c>
      <c r="B121" s="14" t="inlineStr">
        <is>
          <t>Purchase orders</t>
        </is>
      </c>
      <c r="C121" s="14" t="inlineStr">
        <is>
          <t>Pending Purchase Order exports</t>
        </is>
      </c>
      <c r="D121" s="14" t="inlineStr">
        <is>
          <t>Over-received PO lines (pending quantity below zero)</t>
        </is>
      </c>
      <c r="E121" s="14" t="inlineStr">
        <is>
          <t>24 lines, 5,056 units</t>
        </is>
      </c>
      <c r="F121" s="14" t="inlineStr">
        <is>
          <t>Hidden from open-PO views, never checked</t>
        </is>
      </c>
      <c r="G121" s="14" t="inlineStr">
        <is>
          <t>Schema 2.4: v_purchase_order_lines.is_over_received; table on the Purchasing &amp; transfers dashboard</t>
        </is>
      </c>
      <c r="H121" s="14" t="inlineStr">
        <is>
          <t>Handled in model</t>
        </is>
      </c>
      <c r="I121" s="14" t="inlineStr">
        <is>
          <t>Purchasing may want to review the 24 lines</t>
        </is>
      </c>
      <c r="J121" s="14" t="inlineStr">
        <is>
          <t>Low</t>
        </is>
      </c>
      <c r="K121" s="14" t="inlineStr">
        <is>
          <t>Data team</t>
        </is>
      </c>
    </row>
    <row r="122">
      <c r="A122" s="14" t="inlineStr">
        <is>
          <t>D-121</t>
        </is>
      </c>
      <c r="B122" s="14" t="inlineStr">
        <is>
          <t>Purchase orders</t>
        </is>
      </c>
      <c r="C122" s="14" t="inlineStr">
        <is>
          <t>Pending Purchase Order exports</t>
        </is>
      </c>
      <c r="D122" s="14" t="inlineStr">
        <is>
          <t>PO lines with no due date</t>
        </is>
      </c>
      <c r="E122" s="14" t="inlineStr">
        <is>
          <t>223 lines (3 still open)</t>
        </is>
      </c>
      <c r="F122" s="14" t="inlineStr">
        <is>
          <t>Cannot be judged overdue</t>
        </is>
      </c>
      <c r="G122" s="14" t="inlineStr">
        <is>
          <t>Schema 2.4: due_status 'No due date' on open PO lines</t>
        </is>
      </c>
      <c r="H122" s="14" t="inlineStr">
        <is>
          <t>Open - ERP team</t>
        </is>
      </c>
      <c r="I122" s="14" t="inlineStr">
        <is>
          <t>Fill due dates in the ERP</t>
        </is>
      </c>
      <c r="J122" s="14" t="inlineStr">
        <is>
          <t>Low</t>
        </is>
      </c>
      <c r="K122" s="14" t="inlineStr">
        <is>
          <t>ERP team</t>
        </is>
      </c>
    </row>
  </sheetData>
  <autoFilter ref="A1:K122"/>
  <conditionalFormatting sqref="H2:H109">
    <cfRule type="expression" rank="0" priority="2" equalAverage="0" aboveAverage="0" dxfId="10" text="" percent="0" bottom="0">
      <formula>$H2="Resolved (business confirmed)"</formula>
    </cfRule>
    <cfRule type="expression" rank="0" priority="3" equalAverage="0" aboveAverage="0" dxfId="11" text="" percent="0" bottom="0">
      <formula>$H2="Handled in model"</formula>
    </cfRule>
    <cfRule type="expression" rank="0" priority="4" equalAverage="0" aboveAverage="0" dxfId="12" text="" percent="0" bottom="0">
      <formula>$H2="Open - business"</formula>
    </cfRule>
    <cfRule type="expression" rank="0" priority="5" equalAverage="0" aboveAverage="0" dxfId="13" text="" percent="0" bottom="0">
      <formula>$H2="Open - ERP team"</formula>
    </cfRule>
    <cfRule type="expression" rank="0" priority="6" equalAverage="0" aboveAverage="0" dxfId="14" text="" percent="0" bottom="0">
      <formula>$H2="Open - verify with full data"</formula>
    </cfRule>
    <cfRule type="expression" rank="0" priority="7" equalAverage="0" aboveAverage="0" dxfId="15" text="" percent="0" bottom="0">
      <formula>$H2="Assumed - please confirm"</formula>
    </cfRule>
  </conditionalFormatting>
  <conditionalFormatting sqref="J2:J109">
    <cfRule type="expression" rank="0" priority="8" equalAverage="0" aboveAverage="0" dxfId="16" text="" percent="0" bottom="0">
      <formula>$J2="High"</formula>
    </cfRule>
  </conditionalFormatting>
  <dataValidations count="2">
    <dataValidation sqref="H2:H109" showDropDown="0" showInputMessage="0" showErrorMessage="0" allowBlank="0" type="list" errorStyle="stop" operator="between">
      <formula1>"Resolved (business confirmed),Handled in model,Open - business,Open - ERP team,Open - verify with full data,Assumed - please confirm"</formula1>
      <formula2>0</formula2>
    </dataValidation>
    <dataValidation sqref="J2:J109" showDropDown="0" showInputMessage="0" showErrorMessage="0" allowBlank="0" type="list" errorStyle="stop" operator="between">
      <formula1>"High,Medium,Low"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8" min="1" max="1"/>
    <col width="90" customWidth="1" style="8" min="2" max="2"/>
  </cols>
  <sheetData>
    <row r="1" ht="15" customHeight="1" s="9">
      <c r="A1" s="15" t="inlineStr">
        <is>
          <t>Status</t>
        </is>
      </c>
      <c r="B1" s="15" t="inlineStr">
        <is>
          <t>Meaning</t>
        </is>
      </c>
    </row>
    <row r="2" ht="15" customHeight="1" s="9">
      <c r="A2" s="16" t="inlineStr">
        <is>
          <t>Resolved (business confirmed)</t>
        </is>
      </c>
      <c r="B2" s="16" t="inlineStr">
        <is>
          <t>The business answered; the answer is applied in the model.</t>
        </is>
      </c>
    </row>
    <row r="3" ht="15" customHeight="1" s="9">
      <c r="A3" s="16" t="inlineStr">
        <is>
          <t>Handled in model</t>
        </is>
      </c>
      <c r="B3" s="16" t="inlineStr">
        <is>
          <t>A data quirk the model deals with automatically; no business input needed.</t>
        </is>
      </c>
    </row>
    <row r="4" ht="15" customHeight="1" s="9">
      <c r="A4" s="16" t="inlineStr">
        <is>
          <t>Open - business</t>
        </is>
      </c>
      <c r="B4" s="16" t="inlineStr">
        <is>
          <t>Waiting on an answer or data from the business.</t>
        </is>
      </c>
    </row>
    <row r="5" ht="15" customHeight="1" s="9">
      <c r="A5" s="16" t="inlineStr">
        <is>
          <t>Open - ERP team</t>
        </is>
      </c>
      <c r="B5" s="16" t="inlineStr">
        <is>
          <t>Waiting on a change or answer from the ERP team.</t>
        </is>
      </c>
    </row>
    <row r="6" ht="15" customHeight="1" s="9">
      <c r="A6" s="16" t="inlineStr">
        <is>
          <t>Open - verify with full data</t>
        </is>
      </c>
      <c r="B6" s="16" t="inlineStr">
        <is>
          <t>Design is ready; must be re-checked when the full 1.5-year data arrives.</t>
        </is>
      </c>
    </row>
    <row r="7" ht="15" customHeight="1" s="9">
      <c r="A7" s="16" t="inlineStr">
        <is>
          <t>Assumed - please confirm</t>
        </is>
      </c>
      <c r="B7" s="16" t="inlineStr">
        <is>
          <t>The model uses a proposed rule until someone confirms or corrects it.</t>
        </is>
      </c>
    </row>
    <row r="8" ht="15" customHeight="1" s="9">
      <c r="A8" s="16" t="n"/>
      <c r="B8" s="16" t="n"/>
    </row>
    <row r="9" ht="23.85" customHeight="1" s="9">
      <c r="A9" s="16" t="inlineStr">
        <is>
          <t>How to update</t>
        </is>
      </c>
      <c r="B9" s="16" t="inlineStr">
        <is>
          <t>Change Status and fill 'Answer / resolution' in the Issue Log. Add new issues as new rows with the next D-number. The Summary sheet recalculates.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2026-10-03T04:41:51Z</dcterms:created>
  <dcterms:modified xsi:type="dcterms:W3CDTF">2026-10-26T09:26:35Z</dcterms:modified>
  <cp:revision>0</cp:revision>
</cp:coreProperties>
</file>